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Answers" sheetId="2" r:id="rId6"/>
    <sheet state="visible" name="Top 10 items pivot" sheetId="3" r:id="rId7"/>
    <sheet state="visible" name="Sertraline NE Pivot" sheetId="4" r:id="rId8"/>
    <sheet state="visible" name="Items by Drug Pivot" sheetId="5" r:id="rId9"/>
    <sheet state="visible" name="Cost by Drug Pivot" sheetId="6" r:id="rId10"/>
    <sheet state="visible" name="Cost by Region Pivot" sheetId="7" r:id="rId11"/>
    <sheet state="visible" name="Items by Region Pivot" sheetId="8" r:id="rId12"/>
    <sheet state="visible" name="Metadata" sheetId="9" r:id="rId13"/>
  </sheets>
  <definedNames>
    <definedName hidden="1" localSheetId="0" name="_xlnm._FilterDatabase">Raw_Data!$A$1:$Z$1121</definedName>
    <definedName hidden="1" localSheetId="5" name="_xlnm._FilterDatabase">'Cost by Drug Pivot'!$A$1:$B$28</definedName>
  </definedNames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<sst xmlns="http://schemas.openxmlformats.org/spreadsheetml/2006/main" count="3531" uniqueCount="108">
  <si>
    <t>YEAR_MONTH</t>
  </si>
  <si>
    <t>REGIONAL_OFFICE_NAME</t>
  </si>
  <si>
    <t>ICB_NAME</t>
  </si>
  <si>
    <t>DRUG</t>
  </si>
  <si>
    <t>ITEMS</t>
  </si>
  <si>
    <t>ACTUAL_COST</t>
  </si>
  <si>
    <t xml:space="preserve"> </t>
  </si>
  <si>
    <t>EAST OF ENGLAND</t>
  </si>
  <si>
    <t>NHS BEDFORDSHIRE, LUTON AND MILTON KEYNE</t>
  </si>
  <si>
    <t>Agomelatine</t>
  </si>
  <si>
    <t>Amitriptyline hydrochloride</t>
  </si>
  <si>
    <t>Citalopram hydrobromide</t>
  </si>
  <si>
    <t>Citalopram hydrochloride</t>
  </si>
  <si>
    <t>Clomipramine hydrochloride</t>
  </si>
  <si>
    <t>Dosulepin hydrochloride</t>
  </si>
  <si>
    <t>Doxepin</t>
  </si>
  <si>
    <t>Duloxetine hydrochloride</t>
  </si>
  <si>
    <t>Escitalopram</t>
  </si>
  <si>
    <t>Fluoxetine hydrochloride</t>
  </si>
  <si>
    <t>Fluvoxamine maleate</t>
  </si>
  <si>
    <t>Imipramine hydrochloride</t>
  </si>
  <si>
    <t>Lofepramine hydrochloride</t>
  </si>
  <si>
    <t>Mianserin hydrochloride</t>
  </si>
  <si>
    <t>Mirtazapine</t>
  </si>
  <si>
    <t>Moclobemide</t>
  </si>
  <si>
    <t>Nortriptyline</t>
  </si>
  <si>
    <t>Paroxetine hydrochloride</t>
  </si>
  <si>
    <t>Phenelzine sulfate</t>
  </si>
  <si>
    <t>Reboxetine</t>
  </si>
  <si>
    <t>Sertraline hydrochloride</t>
  </si>
  <si>
    <t>Tranylcypromine sulfate</t>
  </si>
  <si>
    <t>Trazodone hydrochloride</t>
  </si>
  <si>
    <t>Trimipramine maleate</t>
  </si>
  <si>
    <t>Venlafaxine</t>
  </si>
  <si>
    <t>Vortioxetine</t>
  </si>
  <si>
    <t>NHS CAMBRIDGESHIRE AND PETERBOROUGH INTE</t>
  </si>
  <si>
    <t>NHS HERTFORDSHIRE AND WEST ESSEX INTEGRA</t>
  </si>
  <si>
    <t>Isocarboxazid</t>
  </si>
  <si>
    <t xml:space="preserve">NHS MID AND SOUTH ESSEX INTEGRATED CARE </t>
  </si>
  <si>
    <t xml:space="preserve">NHS NORFOLK AND WAVENEY INTEGRATED CARE </t>
  </si>
  <si>
    <t>NHS SUFFOLK AND NORTH EAST ESSEX INTEGRA</t>
  </si>
  <si>
    <t>LONDON</t>
  </si>
  <si>
    <t>NHS NORTH CENTRAL LONDON INTEGRATED CARE</t>
  </si>
  <si>
    <t>NHS NORTH EAST LONDON INTEGRATED CARE BO</t>
  </si>
  <si>
    <t>NHS NORTH WEST LONDON INTEGRATED CARE BO</t>
  </si>
  <si>
    <t>NHS SOUTH EAST LONDON INTEGRATED CARE BO</t>
  </si>
  <si>
    <t>NHS SOUTH WEST LONDON INTEGRATED CARE BO</t>
  </si>
  <si>
    <t>MIDLANDS</t>
  </si>
  <si>
    <t>NHS BIRMINGHAM AND SOLIHULL INTEGRATED C</t>
  </si>
  <si>
    <t>NHS BLACK COUNTRY INTEGRATED CARE BOARD</t>
  </si>
  <si>
    <t>NHS COVENTRY AND WARWICKSHIRE INTEGRATED</t>
  </si>
  <si>
    <t>NHS DERBY AND DERBYSHIRE INTEGRATED CARE</t>
  </si>
  <si>
    <t>NHS HEREFORDSHIRE AND WORCESTERSHIRE INT</t>
  </si>
  <si>
    <t>NHS LEICESTER, LEICESTERSHIRE AND RUTLAN</t>
  </si>
  <si>
    <t>NHS LINCOLNSHIRE INTEGRATED CARE BOARD</t>
  </si>
  <si>
    <t>NHS NORTHAMPTONSHIRE INTEGRATED CARE BOA</t>
  </si>
  <si>
    <t>NHS NOTTINGHAM AND NOTTINGHAMSHIRE INTEG</t>
  </si>
  <si>
    <t>NHS SHROPSHIRE, TELFORD AND WREKIN INTEG</t>
  </si>
  <si>
    <t>NHS STAFFORDSHIRE AND STOKE-ON-TRENT INT</t>
  </si>
  <si>
    <t>NORTH EAST AND YORKSHIRE</t>
  </si>
  <si>
    <t>NHS HUMBER AND NORTH YORKSHIRE INTEGRATE</t>
  </si>
  <si>
    <t>NHS NORTH EAST AND NORTH CUMBRIA INTEGRA</t>
  </si>
  <si>
    <t>NHS SOUTH YORKSHIRE INTEGRATED CARE BOAR</t>
  </si>
  <si>
    <t>NHS WEST YORKSHIRE INTEGRATED CARE BOARD</t>
  </si>
  <si>
    <t>NORTH WEST</t>
  </si>
  <si>
    <t>NHS CHESHIRE AND MERSEYSIDE INTEGRATED C</t>
  </si>
  <si>
    <t>NHS GREATER MANCHESTER INTEGRATED CARE B</t>
  </si>
  <si>
    <t>NHS LANCASHIRE AND SOUTH CUMBRIA INTEGRA</t>
  </si>
  <si>
    <t>SOUTH EAST</t>
  </si>
  <si>
    <t>NHS BUCKINGHAMSHIRE, OXFORDSHIRE AND BER</t>
  </si>
  <si>
    <t>NHS FRIMLEY INTEGRATED CARE BOARD</t>
  </si>
  <si>
    <t>NHS HAMPSHIRE AND ISLE OF WIGHT INTEGRAT</t>
  </si>
  <si>
    <t>NHS KENT AND MEDWAY INTEGRATED CARE BOAR</t>
  </si>
  <si>
    <t>NHS SURREY HEARTLANDS INTEGRATED CARE BO</t>
  </si>
  <si>
    <t>NHS SUSSEX INTEGRATED CARE BOARD</t>
  </si>
  <si>
    <t>SOUTH WEST</t>
  </si>
  <si>
    <t>NHS BATH AND NORTH EAST SOMERSET, SWINDO</t>
  </si>
  <si>
    <t>NHS BRISTOL, NORTH SOMERSET AND SOUTH GL</t>
  </si>
  <si>
    <t>NHS CORNWALL AND THE ISLES OF SCILLY INT</t>
  </si>
  <si>
    <t>NHS DEVON INTEGRATED CARE BOARD</t>
  </si>
  <si>
    <t>NHS DORSET INTEGRATED CARE BOARD</t>
  </si>
  <si>
    <t>NHS GLOUCESTERSHIRE INTEGRATED CARE BOAR</t>
  </si>
  <si>
    <t>NHS SOMERSET INTEGRATED CARE BOARD</t>
  </si>
  <si>
    <t>UNIDENTIFIED</t>
  </si>
  <si>
    <t>National cost of Mirtazapine</t>
  </si>
  <si>
    <t>Sertraline cost in the Midlands</t>
  </si>
  <si>
    <t>Total antidepressant items nationally</t>
  </si>
  <si>
    <t>SUM of ITEMS</t>
  </si>
  <si>
    <t>SUM of ACTUAL_COST</t>
  </si>
  <si>
    <t>Data Dictionary</t>
  </si>
  <si>
    <t>Column</t>
  </si>
  <si>
    <t>Title</t>
  </si>
  <si>
    <t>Type</t>
  </si>
  <si>
    <t>Description</t>
  </si>
  <si>
    <t>Year and Month as YYYYMM</t>
  </si>
  <si>
    <t>number</t>
  </si>
  <si>
    <t>Example: 201401</t>
  </si>
  <si>
    <t>Regional Office Name</t>
  </si>
  <si>
    <t>string</t>
  </si>
  <si>
    <t>The name given to a geographical region by NHS England. Each region supports local systems to provide more joined up and care for patients.</t>
  </si>
  <si>
    <t>Integrated Care Board (ICB) Name</t>
  </si>
  <si>
    <t>The name given to a geographical statutory organisation by NHS England that is a smaller division of a Region.</t>
  </si>
  <si>
    <t>British National Formulary (BNF) Chemical Substance Description</t>
  </si>
  <si>
    <t>The name of the main active ingredient in a drug or the type of an appliance. Determined by the British National Formulatory (BNF) for drugs, or the NHS BSA for appliances. For example, Amoxicillin</t>
  </si>
  <si>
    <t>Items</t>
  </si>
  <si>
    <t>The number of times a product appears on a prescription form. Prescription forms include both paper prescriptions and electronic messages.</t>
  </si>
  <si>
    <t>Actual Cost</t>
  </si>
  <si>
    <t>In GBP. The basic cost after adjustment for the national average discount and some payments to the dispenser.See notes for details of the calculation. The calculation is:Net Ingredient Cost - National Average Discount Percentage + (payment for consumables + out of pocket expenses + payment for containers)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</si>
</sst>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8.0"/>
      <color rgb="FF212B32"/>
      <name val="Arial"/>
    </font>
    <font>
      <sz val="8.0"/>
      <color rgb="FF212B32"/>
      <name val="Arial"/>
    </font>
    <font>
      <sz val="9.0"/>
      <color rgb="FF212B3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</fills>
  <borders count="3">
    <border/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8DDE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3" xfId="0" applyFont="1" applyNumberFormat="1"/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left" shrinkToFit="0" wrapText="1"/>
    </xf>
    <xf borderId="2" fillId="3" fontId="4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Most Prescribed Antidepressants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10 items pivot'!$B$1</c:f>
            </c:strRef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cat>
            <c:strRef>
              <c:f>'Top 10 items pivot'!$A$2:$A$6</c:f>
            </c:strRef>
          </c:cat>
          <c:val>
            <c:numRef>
              <c:f>'Top 10 items pivot'!$B$2:$B$6</c:f>
              <c:numCache/>
            </c:numRef>
          </c:val>
        </c:ser>
        <c:ser>
          <c:idx val="1"/>
          <c:order val="1"/>
          <c:tx>
            <c:strRef>
              <c:f>'Top 10 items pivot'!$C$1</c:f>
            </c:strRef>
          </c:tx>
          <c:cat>
            <c:strRef>
              <c:f>'Top 10 items pivot'!$A$2:$A$6</c:f>
            </c:strRef>
          </c:cat>
          <c:val>
            <c:numRef>
              <c:f>'Top 10 items pivot'!$C$2:$C$6</c:f>
              <c:numCache/>
            </c:numRef>
          </c:val>
        </c:ser>
        <c:ser>
          <c:idx val="2"/>
          <c:order val="2"/>
          <c:tx>
            <c:strRef>
              <c:f>'Top 10 items pivot'!$D$1</c:f>
            </c:strRef>
          </c:tx>
          <c:cat>
            <c:strRef>
              <c:f>'Top 10 items pivot'!$A$2:$A$6</c:f>
            </c:strRef>
          </c:cat>
          <c:val>
            <c:numRef>
              <c:f>'Top 10 items pivot'!$D$2:$D$6</c:f>
              <c:numCache/>
            </c:numRef>
          </c:val>
        </c:ser>
        <c:ser>
          <c:idx val="3"/>
          <c:order val="3"/>
          <c:tx>
            <c:strRef>
              <c:f>'Top 10 items pivot'!$E$1</c:f>
            </c:strRef>
          </c:tx>
          <c:cat>
            <c:strRef>
              <c:f>'Top 10 items pivot'!$A$2:$A$6</c:f>
            </c:strRef>
          </c:cat>
          <c:val>
            <c:numRef>
              <c:f>'Top 10 items pivot'!$E$2:$E$6</c:f>
              <c:numCache/>
            </c:numRef>
          </c:val>
        </c:ser>
        <c:ser>
          <c:idx val="4"/>
          <c:order val="4"/>
          <c:tx>
            <c:strRef>
              <c:f>'Top 10 items pivot'!$F$1</c:f>
            </c:strRef>
          </c:tx>
          <c:cat>
            <c:strRef>
              <c:f>'Top 10 items pivot'!$A$2:$A$6</c:f>
            </c:strRef>
          </c:cat>
          <c:val>
            <c:numRef>
              <c:f>'Top 10 items pivot'!$F$2:$F$6</c:f>
              <c:numCache/>
            </c:numRef>
          </c:val>
        </c:ser>
        <c:ser>
          <c:idx val="5"/>
          <c:order val="5"/>
          <c:tx>
            <c:strRef>
              <c:f>'Top 10 items pivot'!$G$1</c:f>
            </c:strRef>
          </c:tx>
          <c:cat>
            <c:strRef>
              <c:f>'Top 10 items pivot'!$A$2:$A$6</c:f>
            </c:strRef>
          </c:cat>
          <c:val>
            <c:numRef>
              <c:f>'Top 10 items pivot'!$G$2:$G$6</c:f>
              <c:numCache/>
            </c:numRef>
          </c:val>
        </c:ser>
        <c:ser>
          <c:idx val="6"/>
          <c:order val="6"/>
          <c:tx>
            <c:strRef>
              <c:f>'Top 10 items pivot'!$H$1</c:f>
            </c:strRef>
          </c:tx>
          <c:cat>
            <c:strRef>
              <c:f>'Top 10 items pivot'!$A$2:$A$6</c:f>
            </c:strRef>
          </c:cat>
          <c:val>
            <c:numRef>
              <c:f>'Top 10 items pivot'!$H$2:$H$6</c:f>
              <c:numCache/>
            </c:numRef>
          </c:val>
        </c:ser>
        <c:ser>
          <c:idx val="7"/>
          <c:order val="7"/>
          <c:tx>
            <c:strRef>
              <c:f>'Top 10 items pivot'!$I$1</c:f>
            </c:strRef>
          </c:tx>
          <c:cat>
            <c:strRef>
              <c:f>'Top 10 items pivot'!$A$2:$A$6</c:f>
            </c:strRef>
          </c:cat>
          <c:val>
            <c:numRef>
              <c:f>'Top 10 items pivot'!$I$2:$I$6</c:f>
              <c:numCache/>
            </c:numRef>
          </c:val>
        </c:ser>
        <c:ser>
          <c:idx val="8"/>
          <c:order val="8"/>
          <c:tx>
            <c:strRef>
              <c:f>'Top 10 items pivot'!$J$1</c:f>
            </c:strRef>
          </c:tx>
          <c:cat>
            <c:strRef>
              <c:f>'Top 10 items pivot'!$A$2:$A$6</c:f>
            </c:strRef>
          </c:cat>
          <c:val>
            <c:numRef>
              <c:f>'Top 10 items pivot'!$J$2:$J$6</c:f>
              <c:numCache/>
            </c:numRef>
          </c:val>
        </c:ser>
        <c:ser>
          <c:idx val="9"/>
          <c:order val="9"/>
          <c:tx>
            <c:strRef>
              <c:f>'Top 10 items pivot'!$K$1</c:f>
            </c:strRef>
          </c:tx>
          <c:cat>
            <c:strRef>
              <c:f>'Top 10 items pivot'!$A$2:$A$6</c:f>
            </c:strRef>
          </c:cat>
          <c:val>
            <c:numRef>
              <c:f>'Top 10 items pivot'!$K$2:$K$6</c:f>
              <c:numCache/>
            </c:numRef>
          </c:val>
        </c:ser>
        <c:ser>
          <c:idx val="10"/>
          <c:order val="10"/>
          <c:tx>
            <c:strRef>
              <c:f>'Top 10 items pivot'!$L$1</c:f>
            </c:strRef>
          </c:tx>
          <c:cat>
            <c:strRef>
              <c:f>'Top 10 items pivot'!$A$2:$A$6</c:f>
            </c:strRef>
          </c:cat>
          <c:val>
            <c:numRef>
              <c:f>'Top 10 items pivot'!$L$2:$L$6</c:f>
              <c:numCache/>
            </c:numRef>
          </c:val>
        </c:ser>
        <c:ser>
          <c:idx val="11"/>
          <c:order val="11"/>
          <c:tx>
            <c:strRef>
              <c:f>'Top 10 items pivot'!$M$1</c:f>
            </c:strRef>
          </c:tx>
          <c:cat>
            <c:strRef>
              <c:f>'Top 10 items pivot'!$A$2:$A$6</c:f>
            </c:strRef>
          </c:cat>
          <c:val>
            <c:numRef>
              <c:f>'Top 10 items pivot'!$M$2:$M$6</c:f>
              <c:numCache/>
            </c:numRef>
          </c:val>
        </c:ser>
        <c:ser>
          <c:idx val="12"/>
          <c:order val="12"/>
          <c:tx>
            <c:strRef>
              <c:f>'Top 10 items pivot'!$N$1</c:f>
            </c:strRef>
          </c:tx>
          <c:cat>
            <c:strRef>
              <c:f>'Top 10 items pivot'!$A$2:$A$6</c:f>
            </c:strRef>
          </c:cat>
          <c:val>
            <c:numRef>
              <c:f>'Top 10 items pivot'!$N$2:$N$6</c:f>
              <c:numCache/>
            </c:numRef>
          </c:val>
        </c:ser>
        <c:ser>
          <c:idx val="13"/>
          <c:order val="13"/>
          <c:tx>
            <c:strRef>
              <c:f>'Top 10 items pivot'!$O$1</c:f>
            </c:strRef>
          </c:tx>
          <c:cat>
            <c:strRef>
              <c:f>'Top 10 items pivot'!$A$2:$A$6</c:f>
            </c:strRef>
          </c:cat>
          <c:val>
            <c:numRef>
              <c:f>'Top 10 items pivot'!$O$2:$O$6</c:f>
              <c:numCache/>
            </c:numRef>
          </c:val>
        </c:ser>
        <c:ser>
          <c:idx val="14"/>
          <c:order val="14"/>
          <c:tx>
            <c:strRef>
              <c:f>'Top 10 items pivot'!$P$1</c:f>
            </c:strRef>
          </c:tx>
          <c:cat>
            <c:strRef>
              <c:f>'Top 10 items pivot'!$A$2:$A$6</c:f>
            </c:strRef>
          </c:cat>
          <c:val>
            <c:numRef>
              <c:f>'Top 10 items pivot'!$P$2:$P$6</c:f>
              <c:numCache/>
            </c:numRef>
          </c:val>
        </c:ser>
        <c:ser>
          <c:idx val="15"/>
          <c:order val="15"/>
          <c:tx>
            <c:strRef>
              <c:f>'Top 10 items pivot'!$Q$1</c:f>
            </c:strRef>
          </c:tx>
          <c:cat>
            <c:strRef>
              <c:f>'Top 10 items pivot'!$A$2:$A$6</c:f>
            </c:strRef>
          </c:cat>
          <c:val>
            <c:numRef>
              <c:f>'Top 10 items pivot'!$Q$2:$Q$6</c:f>
              <c:numCache/>
            </c:numRef>
          </c:val>
        </c:ser>
        <c:ser>
          <c:idx val="16"/>
          <c:order val="16"/>
          <c:tx>
            <c:strRef>
              <c:f>'Top 10 items pivot'!$R$1</c:f>
            </c:strRef>
          </c:tx>
          <c:cat>
            <c:strRef>
              <c:f>'Top 10 items pivot'!$A$2:$A$6</c:f>
            </c:strRef>
          </c:cat>
          <c:val>
            <c:numRef>
              <c:f>'Top 10 items pivot'!$R$2:$R$6</c:f>
              <c:numCache/>
            </c:numRef>
          </c:val>
        </c:ser>
        <c:ser>
          <c:idx val="17"/>
          <c:order val="17"/>
          <c:tx>
            <c:strRef>
              <c:f>'Top 10 items pivot'!$S$1</c:f>
            </c:strRef>
          </c:tx>
          <c:cat>
            <c:strRef>
              <c:f>'Top 10 items pivot'!$A$2:$A$6</c:f>
            </c:strRef>
          </c:cat>
          <c:val>
            <c:numRef>
              <c:f>'Top 10 items pivot'!$S$2:$S$6</c:f>
              <c:numCache/>
            </c:numRef>
          </c:val>
        </c:ser>
        <c:ser>
          <c:idx val="18"/>
          <c:order val="18"/>
          <c:tx>
            <c:strRef>
              <c:f>'Top 10 items pivot'!$T$1</c:f>
            </c:strRef>
          </c:tx>
          <c:cat>
            <c:strRef>
              <c:f>'Top 10 items pivot'!$A$2:$A$6</c:f>
            </c:strRef>
          </c:cat>
          <c:val>
            <c:numRef>
              <c:f>'Top 10 items pivot'!$T$2:$T$6</c:f>
              <c:numCache/>
            </c:numRef>
          </c:val>
        </c:ser>
        <c:ser>
          <c:idx val="19"/>
          <c:order val="19"/>
          <c:tx>
            <c:strRef>
              <c:f>'Top 10 items pivot'!$U$1</c:f>
            </c:strRef>
          </c:tx>
          <c:cat>
            <c:strRef>
              <c:f>'Top 10 items pivot'!$A$2:$A$6</c:f>
            </c:strRef>
          </c:cat>
          <c:val>
            <c:numRef>
              <c:f>'Top 10 items pivot'!$U$2:$U$6</c:f>
              <c:numCache/>
            </c:numRef>
          </c:val>
        </c:ser>
        <c:ser>
          <c:idx val="20"/>
          <c:order val="20"/>
          <c:tx>
            <c:strRef>
              <c:f>'Top 10 items pivot'!$V$1</c:f>
            </c:strRef>
          </c:tx>
          <c:cat>
            <c:strRef>
              <c:f>'Top 10 items pivot'!$A$2:$A$6</c:f>
            </c:strRef>
          </c:cat>
          <c:val>
            <c:numRef>
              <c:f>'Top 10 items pivot'!$V$2:$V$6</c:f>
              <c:numCache/>
            </c:numRef>
          </c:val>
        </c:ser>
        <c:ser>
          <c:idx val="21"/>
          <c:order val="21"/>
          <c:tx>
            <c:strRef>
              <c:f>'Top 10 items pivot'!$W$1</c:f>
            </c:strRef>
          </c:tx>
          <c:cat>
            <c:strRef>
              <c:f>'Top 10 items pivot'!$A$2:$A$6</c:f>
            </c:strRef>
          </c:cat>
          <c:val>
            <c:numRef>
              <c:f>'Top 10 items pivot'!$W$2:$W$6</c:f>
              <c:numCache/>
            </c:numRef>
          </c:val>
        </c:ser>
        <c:ser>
          <c:idx val="22"/>
          <c:order val="22"/>
          <c:tx>
            <c:strRef>
              <c:f>'Top 10 items pivot'!$X$1</c:f>
            </c:strRef>
          </c:tx>
          <c:cat>
            <c:strRef>
              <c:f>'Top 10 items pivot'!$A$2:$A$6</c:f>
            </c:strRef>
          </c:cat>
          <c:val>
            <c:numRef>
              <c:f>'Top 10 items pivot'!$X$2:$X$6</c:f>
              <c:numCache/>
            </c:numRef>
          </c:val>
        </c:ser>
        <c:ser>
          <c:idx val="23"/>
          <c:order val="23"/>
          <c:tx>
            <c:strRef>
              <c:f>'Top 10 items pivot'!$Y$1</c:f>
            </c:strRef>
          </c:tx>
          <c:cat>
            <c:strRef>
              <c:f>'Top 10 items pivot'!$A$2:$A$6</c:f>
            </c:strRef>
          </c:cat>
          <c:val>
            <c:numRef>
              <c:f>'Top 10 items pivot'!$Y$2:$Y$6</c:f>
              <c:numCache/>
            </c:numRef>
          </c:val>
        </c:ser>
        <c:ser>
          <c:idx val="24"/>
          <c:order val="24"/>
          <c:tx>
            <c:strRef>
              <c:f>'Top 10 items pivot'!$Z$1</c:f>
            </c:strRef>
          </c:tx>
          <c:cat>
            <c:strRef>
              <c:f>'Top 10 items pivot'!$A$2:$A$6</c:f>
            </c:strRef>
          </c:cat>
          <c:val>
            <c:numRef>
              <c:f>'Top 10 items pivot'!$Z$2:$Z$6</c:f>
              <c:numCache/>
            </c:numRef>
          </c:val>
        </c:ser>
        <c:axId val="281163474"/>
        <c:axId val="2044506626"/>
      </c:barChart>
      <c:catAx>
        <c:axId val="2811634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506626"/>
      </c:catAx>
      <c:valAx>
        <c:axId val="20445066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1634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ITEMS vs. DRUG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10 items pivot'!$B$1</c:f>
            </c:strRef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cat>
            <c:strRef>
              <c:f>'Top 10 items pivot'!$A$2:$A$11</c:f>
            </c:strRef>
          </c:cat>
          <c:val>
            <c:numRef>
              <c:f>'Top 10 items pivot'!$B$2:$B$11</c:f>
              <c:numCache/>
            </c:numRef>
          </c:val>
        </c:ser>
        <c:axId val="1555888810"/>
        <c:axId val="1057222707"/>
      </c:barChart>
      <c:catAx>
        <c:axId val="15558888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222707"/>
      </c:catAx>
      <c:valAx>
        <c:axId val="10572227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8888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Sertraline Prescribing Cost in North East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'Sertraline NE Pivot'!$B$1</c:f>
            </c:strRef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cat>
            <c:strRef>
              <c:f>'Sertraline NE Pivot'!$A$2:$A$5</c:f>
            </c:strRef>
          </c:cat>
          <c:val>
            <c:numRef>
              <c:f>'Sertraline NE Pivot'!$B$2:$B$5</c:f>
              <c:numCache/>
            </c:numRef>
          </c:val>
        </c:ser>
        <c:axId val="568641504"/>
        <c:axId val="491174043"/>
      </c:barChart>
      <c:catAx>
        <c:axId val="5686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ICB_NAME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174043"/>
      </c:catAx>
      <c:valAx>
        <c:axId val="491174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641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Antidepressant Prescribing Items by Drug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'Items by Drug Pivot'!$B$1</c:f>
            </c:strRef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cat>
            <c:strRef>
              <c:f>'Items by Drug Pivot'!$A$2:$A$1000</c:f>
            </c:strRef>
          </c:cat>
          <c:val>
            <c:numRef>
              <c:f>'Items by Drug Pivot'!$B$2:$B$1000</c:f>
              <c:numCache/>
            </c:numRef>
          </c:val>
        </c:ser>
        <c:axId val="1927551500"/>
        <c:axId val="269190328"/>
      </c:barChart>
      <c:catAx>
        <c:axId val="1927551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190328"/>
      </c:catAx>
      <c:valAx>
        <c:axId val="269190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551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Antidepressant Prescribing Cost by Drug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'Cost by Drug Pivot'!$B$1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'Cost by Drug Pivot'!$A$2:$A$28</c:f>
            </c:strRef>
          </c:cat>
          <c:val>
            <c:numRef>
              <c:f>'Cost by Drug Pivot'!$B$2:$B$28</c:f>
              <c:numCache/>
            </c:numRef>
          </c:val>
        </c:ser>
        <c:axId val="1922488181"/>
        <c:axId val="305561974"/>
      </c:barChart>
      <c:catAx>
        <c:axId val="192248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561974"/>
      </c:catAx>
      <c:valAx>
        <c:axId val="305561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488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Antidepressants by Prescribing Cost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'Cost by Drug Pivot'!$B$1</c:f>
            </c:strRef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cat>
            <c:strRef>
              <c:f>'Cost by Drug Pivot'!$A$2:$A$11</c:f>
            </c:strRef>
          </c:cat>
          <c:val>
            <c:numRef>
              <c:f>'Cost by Drug Pivot'!$B$2:$B$11</c:f>
              <c:numCache/>
            </c:numRef>
          </c:val>
        </c:ser>
        <c:axId val="1284794320"/>
        <c:axId val="1919885335"/>
      </c:barChart>
      <c:catAx>
        <c:axId val="1284794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885335"/>
      </c:catAx>
      <c:valAx>
        <c:axId val="19198853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7943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3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238125</xdr:colOff>
      <xdr:row>34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790575</xdr:colOff>
      <xdr:row>19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790575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121" sheet="Raw_Data"/>
  </cacheSource>
  <cacheFields>
    <cacheField name="YEAR_MONTH" numFmtId="0">
      <sharedItems containsSemiMixedTypes="0" containsString="0" containsNumber="1" containsInteger="1">
        <n v="202412.0"/>
      </sharedItems>
    </cacheField>
    <cacheField name="REGIONAL_OFFICE_NAME" numFmtId="0">
      <sharedItems>
        <s v="EAST OF ENGLAND"/>
        <s v="LONDON"/>
        <s v="MIDLANDS"/>
        <s v="NORTH EAST AND YORKSHIRE"/>
        <s v="NORTH WEST"/>
        <s v="SOUTH EAST"/>
        <s v="SOUTH WEST"/>
        <s v="UNIDENTIFIED"/>
      </sharedItems>
    </cacheField>
    <cacheField name="ICB_NAME" numFmtId="0">
      <sharedItems>
        <s v="NHS BEDFORDSHIRE, LUTON AND MILTON KEYNE"/>
        <s v="NHS CAMBRIDGESHIRE AND PETERBOROUGH INTE"/>
        <s v="NHS HERTFORDSHIRE AND WEST ESSEX INTEGRA"/>
        <s v="NHS MID AND SOUTH ESSEX INTEGRATED CARE "/>
        <s v="NHS NORFOLK AND WAVENEY INTEGRATED CARE "/>
        <s v="NHS SUFFOLK AND NORTH EAST ESSEX INTEGRA"/>
        <s v="NHS NORTH CENTRAL LONDON INTEGRATED CARE"/>
        <s v="NHS NORTH EAST LONDON INTEGRATED CARE BO"/>
        <s v="NHS NORTH WEST LONDON INTEGRATED CARE BO"/>
        <s v="NHS SOUTH EAST LONDON INTEGRATED CARE BO"/>
        <s v="NHS SOUTH WEST LONDON INTEGRATED CARE BO"/>
        <s v="NHS BIRMINGHAM AND SOLIHULL INTEGRATED C"/>
        <s v="NHS BLACK COUNTRY INTEGRATED CARE BOARD"/>
        <s v="NHS COVENTRY AND WARWICKSHIRE INTEGRATED"/>
        <s v="NHS DERBY AND DERBYSHIRE INTEGRATED CARE"/>
        <s v="NHS HEREFORDSHIRE AND WORCESTERSHIRE INT"/>
        <s v="NHS LEICESTER, LEICESTERSHIRE AND RUTLAN"/>
        <s v="NHS LINCOLNSHIRE INTEGRATED CARE BOARD"/>
        <s v="NHS NORTHAMPTONSHIRE INTEGRATED CARE BOA"/>
        <s v="NHS NOTTINGHAM AND NOTTINGHAMSHIRE INTEG"/>
        <s v="NHS SHROPSHIRE, TELFORD AND WREKIN INTEG"/>
        <s v="NHS STAFFORDSHIRE AND STOKE-ON-TRENT INT"/>
        <s v="NHS HUMBER AND NORTH YORKSHIRE INTEGRATE"/>
        <s v="NHS NORTH EAST AND NORTH CUMBRIA INTEGRA"/>
        <s v="NHS SOUTH YORKSHIRE INTEGRATED CARE BOAR"/>
        <s v="NHS WEST YORKSHIRE INTEGRATED CARE BOARD"/>
        <s v="NHS CHESHIRE AND MERSEYSIDE INTEGRATED C"/>
        <s v="NHS GREATER MANCHESTER INTEGRATED CARE B"/>
        <s v="NHS LANCASHIRE AND SOUTH CUMBRIA INTEGRA"/>
        <s v="NHS BUCKINGHAMSHIRE, OXFORDSHIRE AND BER"/>
        <s v="NHS FRIMLEY INTEGRATED CARE BOARD"/>
        <s v="NHS HAMPSHIRE AND ISLE OF WIGHT INTEGRAT"/>
        <s v="NHS KENT AND MEDWAY INTEGRATED CARE BOAR"/>
        <s v="NHS SURREY HEARTLANDS INTEGRATED CARE BO"/>
        <s v="NHS SUSSEX INTEGRATED CARE BOARD"/>
        <s v="NHS BATH AND NORTH EAST SOMERSET, SWINDO"/>
        <s v="NHS BRISTOL, NORTH SOMERSET AND SOUTH GL"/>
        <s v="NHS CORNWALL AND THE ISLES OF SCILLY INT"/>
        <s v="NHS DEVON INTEGRATED CARE BOARD"/>
        <s v="NHS DORSET INTEGRATED CARE BOARD"/>
        <s v="NHS GLOUCESTERSHIRE INTEGRATED CARE BOAR"/>
        <s v="NHS SOMERSET INTEGRATED CARE BOARD"/>
        <s v="UNIDENTIFIED"/>
      </sharedItems>
    </cacheField>
    <cacheField name="DRUG" numFmtId="0">
      <sharedItems>
        <s v="Agomelatine"/>
        <s v="Amitriptyline hydrochloride"/>
        <s v="Citalopram hydrobromide"/>
        <s v="Citalopram hydrochloride"/>
        <s v="Clomipramine hydrochloride"/>
        <s v="Dosulepin hydrochloride"/>
        <s v="Doxepin"/>
        <s v="Duloxetine hydrochloride"/>
        <s v="Escitalopram"/>
        <s v="Fluoxetine hydrochloride"/>
        <s v="Fluvoxamine maleate"/>
        <s v="Imipramine hydrochloride"/>
        <s v="Lofepramine hydrochloride"/>
        <s v="Mianserin hydrochloride"/>
        <s v="Mirtazapine"/>
        <s v="Moclobemide"/>
        <s v="Nortriptyline"/>
        <s v="Paroxetine hydrochloride"/>
        <s v="Phenelzine sulfate"/>
        <s v="Reboxetine"/>
        <s v="Sertraline hydrochloride"/>
        <s v="Tranylcypromine sulfate"/>
        <s v="Trazodone hydrochloride"/>
        <s v="Trimipramine maleate"/>
        <s v="Venlafaxine"/>
        <s v="Vortioxetine"/>
        <s v="Isocarboxazid"/>
      </sharedItems>
    </cacheField>
    <cacheField name="ITEMS" numFmtId="0">
      <sharedItems containsSemiMixedTypes="0" containsString="0" containsNumber="1" containsInteger="1">
        <n v="13.0"/>
        <n v="18955.0"/>
        <n v="15618.0"/>
        <n v="109.0"/>
        <n v="278.0"/>
        <n v="318.0"/>
        <n v="10.0"/>
        <n v="3598.0"/>
        <n v="2122.0"/>
        <n v="7980.0"/>
        <n v="27.0"/>
        <n v="62.0"/>
        <n v="124.0"/>
        <n v="6.0"/>
        <n v="11350.0"/>
        <n v="8.0"/>
        <n v="782.0"/>
        <n v="1329.0"/>
        <n v="2.0"/>
        <n v="11.0"/>
        <n v="27852.0"/>
        <n v="1.0"/>
        <n v="1496.0"/>
        <n v="7933.0"/>
        <n v="316.0"/>
        <n v="15.0"/>
        <n v="27415.0"/>
        <n v="22722.0"/>
        <n v="101.0"/>
        <n v="344.0"/>
        <n v="541.0"/>
        <n v="21.0"/>
        <n v="4076.0"/>
        <n v="2028.0"/>
        <n v="9536.0"/>
        <n v="39.0"/>
        <n v="155.0"/>
        <n v="15811.0"/>
        <n v="19.0"/>
        <n v="1689.0"/>
        <n v="1783.0"/>
        <n v="26.0"/>
        <n v="37613.0"/>
        <n v="818.0"/>
        <n v="9138.0"/>
        <n v="308.0"/>
        <n v="60.0"/>
        <n v="30403.0"/>
        <n v="32236.0"/>
        <n v="156.0"/>
        <n v="436.0"/>
        <n v="489.0"/>
        <n v="30.0"/>
        <n v="5728.0"/>
        <n v="3653.0"/>
        <n v="13680.0"/>
        <n v="45.0"/>
        <n v="167.0"/>
        <n v="266.0"/>
        <n v="20320.0"/>
        <n v="1840.0"/>
        <n v="2697.0"/>
        <n v="37.0"/>
        <n v="44938.0"/>
        <n v="2365.0"/>
        <n v="12542.0"/>
        <n v="471.0"/>
        <n v="22.0"/>
        <n v="31577.0"/>
        <n v="28984.0"/>
        <n v="125.0"/>
        <n v="473.0"/>
        <n v="525.0"/>
        <n v="7054.0"/>
        <n v="3181.0"/>
        <n v="12958.0"/>
        <n v="123.0"/>
        <n v="108.0"/>
        <n v="18166.0"/>
        <n v="5.0"/>
        <n v="1764.0"/>
        <n v="2384.0"/>
        <n v="39854.0"/>
        <n v="3.0"/>
        <n v="702.0"/>
        <n v="10874.0"/>
        <n v="640.0"/>
        <n v="17.0"/>
        <n v="32965.0"/>
        <n v="32897.0"/>
        <n v="144.0"/>
        <n v="645.0"/>
        <n v="815.0"/>
        <n v="34.0"/>
        <n v="7416.0"/>
        <n v="6267.0"/>
        <n v="16216.0"/>
        <n v="245.0"/>
        <n v="205.0"/>
        <n v="25026.0"/>
        <n v="14.0"/>
        <n v="2395.0"/>
        <n v="2596.0"/>
        <n v="43.0"/>
        <n v="43439.0"/>
        <n v="1333.0"/>
        <n v="17800.0"/>
        <n v="1375.0"/>
        <n v="31751.0"/>
        <n v="29972.0"/>
        <n v="142.0"/>
        <n v="536.0"/>
        <n v="468.0"/>
        <n v="32.0"/>
        <n v="9690.0"/>
        <n v="2966.0"/>
        <n v="13189.0"/>
        <n v="61.0"/>
        <n v="214.0"/>
        <n v="171.0"/>
        <n v="23155.0"/>
        <n v="20.0"/>
        <n v="2266.0"/>
        <n v="2963.0"/>
        <n v="9.0"/>
        <n v="59.0"/>
        <n v="46916.0"/>
        <n v="1590.0"/>
        <n v="28.0"/>
        <n v="15301.0"/>
        <n v="994.0"/>
        <n v="57.0"/>
        <n v="22701.0"/>
        <n v="18236.0"/>
        <n v="75.0"/>
        <n v="387.0"/>
        <n v="440.0"/>
        <n v="5067.0"/>
        <n v="4060.0"/>
        <n v="9356.0"/>
        <n v="191.0"/>
        <n v="209.0"/>
        <n v="23819.0"/>
        <n v="1789.0"/>
        <n v="2279.0"/>
        <n v="12.0"/>
        <n v="35482.0"/>
        <n v="1236.0"/>
        <n v="35.0"/>
        <n v="8469.0"/>
        <n v="476.0"/>
        <n v="58.0"/>
        <n v="33192.0"/>
        <n v="25540.0"/>
        <n v="98.0"/>
        <n v="510.0"/>
        <n v="684.0"/>
        <n v="42.0"/>
        <n v="9787.0"/>
        <n v="4079.0"/>
        <n v="11410.0"/>
        <n v="140.0"/>
        <n v="174.0"/>
        <n v="27842.0"/>
        <n v="1940.0"/>
        <n v="2833.0"/>
        <n v="47793.0"/>
        <n v="4.0"/>
        <n v="1226.0"/>
        <n v="66.0"/>
        <n v="10776.0"/>
        <n v="584.0"/>
        <n v="172.0"/>
        <n v="25670.0"/>
        <n v="19412.0"/>
        <n v="74.0"/>
        <n v="399.0"/>
        <n v="528.0"/>
        <n v="7863.0"/>
        <n v="4168.0"/>
        <n v="11399.0"/>
        <n v="200.0"/>
        <n v="30426.0"/>
        <n v="2968.0"/>
        <n v="2887.0"/>
        <n v="33.0"/>
        <n v="48241.0"/>
        <n v="1630.0"/>
        <n v="10912.0"/>
        <n v="934.0"/>
        <n v="91.0"/>
        <n v="23820.0"/>
        <n v="20776.0"/>
        <n v="85.0"/>
        <n v="371.0"/>
        <n v="386.0"/>
        <n v="5799.0"/>
        <n v="4556.0"/>
        <n v="10716.0"/>
        <n v="50.0"/>
        <n v="158.0"/>
        <n v="145.0"/>
        <n v="22285.0"/>
        <n v="2177.0"/>
        <n v="2153.0"/>
        <n v="38893.0"/>
        <n v="1075.0"/>
        <n v="38.0"/>
        <n v="8904.0"/>
        <n v="954.0"/>
        <n v="19931.0"/>
        <n v="19554.0"/>
        <n v="68.0"/>
        <n v="362.0"/>
        <n v="3762.0"/>
        <n v="3512.0"/>
        <n v="9917.0"/>
        <n v="128.0"/>
        <n v="22053.0"/>
        <n v="25.0"/>
        <n v="1099.0"/>
        <n v="1714.0"/>
        <n v="38945.0"/>
        <n v="1142.0"/>
        <n v="48.0"/>
        <n v="9491.0"/>
        <n v="820.0"/>
        <n v="25747.0"/>
        <n v="20265.0"/>
        <n v="122.0"/>
        <n v="273.0"/>
        <n v="453.0"/>
        <n v="6711.0"/>
        <n v="2507.0"/>
        <n v="10205.0"/>
        <n v="40.0"/>
        <n v="82.0"/>
        <n v="106.0"/>
        <n v="24732.0"/>
        <n v="730.0"/>
        <n v="18.0"/>
        <n v="41925.0"/>
        <n v="433.0"/>
        <n v="10369.0"/>
        <n v="382.0"/>
        <n v="27861.0"/>
        <n v="22910.0"/>
        <n v="161.0"/>
        <n v="352.0"/>
        <n v="606.0"/>
        <n v="6317.0"/>
        <n v="2683.0"/>
        <n v="11056.0"/>
        <n v="52.0"/>
        <n v="93.0"/>
        <n v="22429.0"/>
        <n v="1153.0"/>
        <n v="2526.0"/>
        <n v="44687.0"/>
        <n v="572.0"/>
        <n v="10487.0"/>
        <n v="534.0"/>
        <n v="23834.0"/>
        <n v="18372.0"/>
        <n v="107.0"/>
        <n v="240.0"/>
        <n v="492.0"/>
        <n v="7.0"/>
        <n v="4759.0"/>
        <n v="3476.0"/>
        <n v="10347.0"/>
        <n v="16775.0"/>
        <n v="1667.0"/>
        <n v="1343.0"/>
        <n v="16.0"/>
        <n v="36946.0"/>
        <n v="1042.0"/>
        <n v="31.0"/>
        <n v="9143.0"/>
        <n v="1699.0"/>
        <n v="29812.0"/>
        <n v="20538.0"/>
        <n v="139.0"/>
        <n v="537.0"/>
        <n v="447.0"/>
        <n v="8947.0"/>
        <n v="710.0"/>
        <n v="14830.0"/>
        <n v="221.0"/>
        <n v="20750.0"/>
        <n v="1627.0"/>
        <n v="2185.0"/>
        <n v="46.0"/>
        <n v="43355.0"/>
        <n v="2875.0"/>
        <n v="9216.0"/>
        <n v="20828.0"/>
        <n v="13851.0"/>
        <n v="97.0"/>
        <n v="262.0"/>
        <n v="359.0"/>
        <n v="5512.0"/>
        <n v="2505.0"/>
        <n v="8784.0"/>
        <n v="117.0"/>
        <n v="100.0"/>
        <n v="14196.0"/>
        <n v="745.0"/>
        <n v="1674.0"/>
        <n v="29480.0"/>
        <n v="465.0"/>
        <n v="7477.0"/>
        <n v="195.0"/>
        <n v="25860.0"/>
        <n v="21569.0"/>
        <n v="84.0"/>
        <n v="288.0"/>
        <n v="8076.0"/>
        <n v="1538.0"/>
        <n v="12092.0"/>
        <n v="120.0"/>
        <n v="271.0"/>
        <n v="20242.0"/>
        <n v="1867.0"/>
        <n v="2269.0"/>
        <n v="40381.0"/>
        <n v="822.0"/>
        <n v="9830.0"/>
        <n v="793.0"/>
        <n v="28838.0"/>
        <n v="24520.0"/>
        <n v="90.0"/>
        <n v="345.0"/>
        <n v="674.0"/>
        <n v="8664.0"/>
        <n v="5136.0"/>
        <n v="13756.0"/>
        <n v="237.0"/>
        <n v="16118.0"/>
        <n v="1256.0"/>
        <n v="36.0"/>
        <n v="34985.0"/>
        <n v="2008.0"/>
        <n v="10065.0"/>
        <n v="379.0"/>
        <n v="20202.0"/>
        <n v="17606.0"/>
        <n v="71.0"/>
        <n v="247.0"/>
        <n v="178.0"/>
        <n v="5710.0"/>
        <n v="2954.0"/>
        <n v="9904.0"/>
        <n v="268.0"/>
        <n v="12919.0"/>
        <n v="881.0"/>
        <n v="1573.0"/>
        <n v="23.0"/>
        <n v="32223.0"/>
        <n v="7943.0"/>
        <n v="797.0"/>
        <n v="35869.0"/>
        <n v="25477.0"/>
        <n v="104.0"/>
        <n v="564.0"/>
        <n v="9467.0"/>
        <n v="2844.0"/>
        <n v="13375.0"/>
        <n v="377.0"/>
        <n v="366.0"/>
        <n v="20369.0"/>
        <n v="2611.0"/>
        <n v="1470.0"/>
        <n v="47439.0"/>
        <n v="2922.0"/>
        <n v="10146.0"/>
        <n v="363.0"/>
        <n v="12584.0"/>
        <n v="9681.0"/>
        <n v="133.0"/>
        <n v="1341.0"/>
        <n v="5540.0"/>
        <n v="89.0"/>
        <n v="113.0"/>
        <n v="8571.0"/>
        <n v="403.0"/>
        <n v="760.0"/>
        <n v="17554.0"/>
        <n v="535.0"/>
        <n v="4220.0"/>
        <n v="24.0"/>
        <n v="29297.0"/>
        <n v="26329.0"/>
        <n v="165.0"/>
        <n v="234.0"/>
        <n v="552.0"/>
        <n v="7971.0"/>
        <n v="3718.0"/>
        <n v="13297.0"/>
        <n v="112.0"/>
        <n v="148.0"/>
        <n v="23201.0"/>
        <n v="1962.0"/>
        <n v="3105.0"/>
        <n v="45737.0"/>
        <n v="831.0"/>
        <n v="11180.0"/>
        <n v="329.0"/>
        <n v="55458.0"/>
        <n v="40415.0"/>
        <n v="224.0"/>
        <n v="865.0"/>
        <n v="12734.0"/>
        <n v="4506.0"/>
        <n v="24043.0"/>
        <n v="277.0"/>
        <n v="274.0"/>
        <n v="33149.0"/>
        <n v="2865.0"/>
        <n v="3420.0"/>
        <n v="73.0"/>
        <n v="74649.0"/>
        <n v="3766.0"/>
        <n v="14651.0"/>
        <n v="602.0"/>
        <n v="354.0"/>
        <n v="107236.0"/>
        <n v="73190.0"/>
        <n v="297.0"/>
        <n v="1565.0"/>
        <n v="1351.0"/>
        <n v="72.0"/>
        <n v="53625.0"/>
        <n v="9088.0"/>
        <n v="66344.0"/>
        <n v="629.0"/>
        <n v="1318.0"/>
        <n v="105543.0"/>
        <n v="63.0"/>
        <n v="6105.0"/>
        <n v="7591.0"/>
        <n v="227.0"/>
        <n v="165815.0"/>
        <n v="23659.0"/>
        <n v="114.0"/>
        <n v="40719.0"/>
        <n v="3669.0"/>
        <n v="55792.0"/>
        <n v="33525.0"/>
        <n v="130.0"/>
        <n v="430.0"/>
        <n v="607.0"/>
        <n v="64.0"/>
        <n v="16011.0"/>
        <n v="3458.0"/>
        <n v="26060.0"/>
        <n v="80.0"/>
        <n v="319.0"/>
        <n v="533.0"/>
        <n v="36225.0"/>
        <n v="29.0"/>
        <n v="2681.0"/>
        <n v="4147.0"/>
        <n v="51.0"/>
        <n v="67892.0"/>
        <n v="7737.0"/>
        <n v="9475.0"/>
        <n v="76.0"/>
        <n v="67629.0"/>
        <n v="45049.0"/>
        <n v="897.0"/>
        <n v="1122.0"/>
        <n v="115.0"/>
        <n v="14806.0"/>
        <n v="4933.0"/>
        <n v="31588.0"/>
        <n v="95.0"/>
        <n v="332.0"/>
        <n v="446.0"/>
        <n v="53297.0"/>
        <n v="3555.0"/>
        <n v="4237.0"/>
        <n v="96605.0"/>
        <n v="7604.0"/>
        <n v="19210.0"/>
        <n v="1134.0"/>
        <n v="62759.0"/>
        <n v="53053.0"/>
        <n v="257.0"/>
        <n v="1170.0"/>
        <n v="1533.0"/>
        <n v="8417.0"/>
        <n v="38298.0"/>
        <n v="260.0"/>
        <n v="400.0"/>
        <n v="75264.0"/>
        <n v="5036.0"/>
        <n v="5940.0"/>
        <n v="78.0"/>
        <n v="128167.0"/>
        <n v="5296.0"/>
        <n v="34151.0"/>
        <n v="74164.0"/>
        <n v="54809.0"/>
        <n v="228.0"/>
        <n v="1076.0"/>
        <n v="1194.0"/>
        <n v="27590.0"/>
        <n v="9296.0"/>
        <n v="32905.0"/>
        <n v="369.0"/>
        <n v="77940.0"/>
        <n v="7222.0"/>
        <n v="6450.0"/>
        <n v="88.0"/>
        <n v="126533.0"/>
        <n v="8578.0"/>
        <n v="32707.0"/>
        <n v="1558.0"/>
        <n v="50559.0"/>
        <n v="41916.0"/>
        <n v="198.0"/>
        <n v="694.0"/>
        <n v="963.0"/>
        <n v="11735.0"/>
        <n v="5186.0"/>
        <n v="215.0"/>
        <n v="294.0"/>
        <n v="44352.0"/>
        <n v="2310.0"/>
        <n v="4602.0"/>
        <n v="74752.0"/>
        <n v="4436.0"/>
        <n v="15359.0"/>
        <n v="1879.0"/>
        <n v="30761.0"/>
        <n v="26625.0"/>
        <n v="177.0"/>
        <n v="466.0"/>
        <n v="638.0"/>
        <n v="6993.0"/>
        <n v="3328.0"/>
        <n v="16114.0"/>
        <n v="395.0"/>
        <n v="244.0"/>
        <n v="22620.0"/>
        <n v="2272.0"/>
        <n v="2800.0"/>
        <n v="53866.0"/>
        <n v="4584.0"/>
        <n v="12235.0"/>
        <n v="906.0"/>
        <n v="44.0"/>
        <n v="11448.0"/>
        <n v="10437.0"/>
        <n v="151.0"/>
        <n v="196.0"/>
        <n v="3083.0"/>
        <n v="1984.0"/>
        <n v="5195.0"/>
        <n v="102.0"/>
        <n v="54.0"/>
        <n v="10025.0"/>
        <n v="773.0"/>
        <n v="979.0"/>
        <n v="19701.0"/>
        <n v="1074.0"/>
        <n v="4903.0"/>
        <n v="658.0"/>
        <n v="43900.0"/>
        <n v="31438.0"/>
        <n v="253.0"/>
        <n v="623.0"/>
        <n v="520.0"/>
        <n v="9213.0"/>
        <n v="7875.0"/>
        <n v="18128.0"/>
        <n v="261.0"/>
        <n v="35154.0"/>
        <n v="2819.0"/>
        <n v="67561.0"/>
        <n v="3982.0"/>
        <n v="19676.0"/>
        <n v="1751.0"/>
        <n v="331.0"/>
        <n v="38288.0"/>
        <n v="38651.0"/>
        <n v="530.0"/>
        <n v="1148.0"/>
        <n v="13809.0"/>
        <n v="10367.0"/>
        <n v="19069.0"/>
        <n v="439.0"/>
        <n v="212.0"/>
        <n v="26738.0"/>
        <n v="3750.0"/>
        <n v="3285.0"/>
        <n v="60865.0"/>
        <n v="1344.0"/>
        <n v="13331.0"/>
        <n v="1090.0"/>
        <n v="12827.0"/>
        <n v="14652.0"/>
        <n v="250.0"/>
        <n v="405.0"/>
        <n v="3769.0"/>
        <n v="3276.0"/>
        <n v="6731.0"/>
        <n v="13478.0"/>
        <n v="1208.0"/>
        <n v="25564.0"/>
        <n v="6313.0"/>
        <n v="749.0"/>
        <n v="34389.0"/>
        <n v="34896.0"/>
        <n v="650.0"/>
        <n v="1108.0"/>
        <n v="12532.0"/>
        <n v="7994.0"/>
        <n v="15781.0"/>
        <n v="211.0"/>
        <n v="33970.0"/>
        <n v="1578.0"/>
        <n v="2719.0"/>
        <n v="41.0"/>
        <n v="58606.0"/>
        <n v="3323.0"/>
        <n v="67.0"/>
        <n v="16824.0"/>
        <n v="2027.0"/>
        <n v="22704.0"/>
        <n v="19814.0"/>
        <n v="304.0"/>
        <n v="431.0"/>
        <n v="6811.0"/>
        <n v="5056.0"/>
        <n v="9202.0"/>
        <n v="236.0"/>
        <n v="149.0"/>
        <n v="17897.0"/>
        <n v="1322.0"/>
        <n v="1546.0"/>
        <n v="31774.0"/>
        <n v="1525.0"/>
        <n v="10340.0"/>
        <n v="357.0"/>
        <n v="19700.0"/>
        <n v="15333.0"/>
        <n v="291.0"/>
        <n v="307.0"/>
        <n v="5191.0"/>
        <n v="3008.0"/>
        <n v="6916.0"/>
        <n v="47.0"/>
        <n v="18077.0"/>
        <n v="1198.0"/>
        <n v="1453.0"/>
        <n v="30947.0"/>
        <n v="845.0"/>
        <n v="6693.0"/>
        <n v="388.0"/>
        <n v="18888.0"/>
        <n v="15970.0"/>
        <n v="181.0"/>
        <n v="346.0"/>
        <n v="4621.0"/>
        <n v="2048.0"/>
        <n v="6703.0"/>
        <n v="160.0"/>
        <n v="94.0"/>
        <n v="11802.0"/>
        <n v="1516.0"/>
        <n v="23574.0"/>
        <n v="1517.0"/>
        <n v="7917.0"/>
        <n v="338.0"/>
        <n v="34906.0"/>
        <n v="27894.0"/>
        <n v="408.0"/>
        <n v="634.0"/>
        <n v="8572.0"/>
        <n v="2603.0"/>
        <n v="14202.0"/>
        <n v="481.0"/>
        <n v="343.0"/>
        <n v="26798.0"/>
        <n v="1498.0"/>
        <n v="1828.0"/>
        <n v="44211.0"/>
        <n v="1887.0"/>
        <n v="13548.0"/>
        <n v="22028.0"/>
        <n v="16018.0"/>
        <n v="264.0"/>
        <n v="407.0"/>
        <n v="5149.0"/>
        <n v="2672.0"/>
        <n v="7726.0"/>
        <n v="13842.0"/>
        <n v="330.0"/>
        <n v="1612.0"/>
        <n v="25904.0"/>
        <n v="2316.0"/>
        <n v="8361.0"/>
        <n v="230.0"/>
        <n v="17637.0"/>
        <n v="14393.0"/>
        <n v="77.0"/>
        <n v="290.0"/>
        <n v="341.0"/>
        <n v="5926.0"/>
        <n v="2650.0"/>
        <n v="7174.0"/>
        <n v="86.0"/>
        <n v="15475.0"/>
        <n v="899.0"/>
        <n v="1261.0"/>
        <n v="24175.0"/>
        <n v="577.0"/>
        <n v="6569.0"/>
        <n v="15756.0"/>
        <n v="13293.0"/>
        <n v="168.0"/>
        <n v="199.0"/>
        <n v="3371.0"/>
        <n v="1509.0"/>
        <n v="6736.0"/>
        <n v="10228.0"/>
        <n v="464.0"/>
        <n v="1028.0"/>
        <n v="16165.0"/>
        <n v="589.0"/>
        <n v="4699.0"/>
      </sharedItems>
    </cacheField>
    <cacheField name="ACTUAL_COST" numFmtId="0">
      <sharedItems containsSemiMixedTypes="0" containsString="0" containsNumber="1">
        <n v="193.90205"/>
        <n v="19015.39897"/>
        <n v="11038.82285"/>
        <n v="1659.24454"/>
        <n v="3388.1885"/>
        <n v="3033.30354"/>
        <n v="1906.824"/>
        <n v="10160.86455"/>
        <n v="4450.22859"/>
        <n v="13826.77827"/>
        <n v="437.63013"/>
        <n v="163.96771"/>
        <n v="2891.74758"/>
        <n v="490.16922"/>
        <n v="11071.3234"/>
        <n v="106.28188"/>
        <n v="3639.7335"/>
        <n v="2286.51917"/>
        <n v="360.2248"/>
        <n v="294.77172"/>
        <n v="46597.41574"/>
        <n v="2910.0124"/>
        <n v="8150.99125"/>
        <n v="276.83341"/>
        <n v="61021.89536"/>
        <n v="8474.10762"/>
        <n v="208.59817"/>
        <n v="25310.57696"/>
        <n v="14051.3918"/>
        <n v="1172.47823"/>
        <n v="3883.38542"/>
        <n v="5244.56065"/>
        <n v="2977.8404"/>
        <n v="11669.6453"/>
        <n v="3953.5484"/>
        <n v="16804.78746"/>
        <n v="561.8121"/>
        <n v="365.8225"/>
        <n v="3329.96155"/>
        <n v="78.06406"/>
        <n v="14914.11495"/>
        <n v="259.55405"/>
        <n v="6284.84262"/>
        <n v="3437.98353"/>
        <n v="1777.30698"/>
        <n v="321.9075"/>
        <n v="64540.72318"/>
        <n v="485.0124"/>
        <n v="2706.58346"/>
        <n v="4450.24421"/>
        <n v="76401.60359"/>
        <n v="7291.97012"/>
        <n v="1003.11123"/>
        <n v="28292.17318"/>
        <n v="21416.37156"/>
        <n v="1985.77191"/>
        <n v="4866.64482"/>
        <n v="4963.0363"/>
        <n v="3995.562"/>
        <n v="18861.92993"/>
        <n v="7826.606"/>
        <n v="25924.55426"/>
        <n v="1038.78997"/>
        <n v="691.41373"/>
        <n v="6617.4664"/>
        <n v="5947.71499"/>
        <n v="19743.48218"/>
        <n v="300.73167"/>
        <n v="9020.87761"/>
        <n v="5788.64005"/>
        <n v="1239.224"/>
        <n v="803.83603"/>
        <n v="97885.08487"/>
        <n v="6790.0744"/>
        <n v="11880.60745"/>
        <n v="6396.71657"/>
        <n v="98995.20406"/>
        <n v="11128.6214"/>
        <n v="461.96576"/>
        <n v="30928.79795"/>
        <n v="19457.17516"/>
        <n v="1391.46176"/>
        <n v="6019.19898"/>
        <n v="6552.11434"/>
        <n v="3038.80096"/>
        <n v="24591.66612"/>
        <n v="6604.54887"/>
        <n v="26213.71743"/>
        <n v="451.9648"/>
        <n v="310.36067"/>
        <n v="3339.8744"/>
        <n v="3345.53277"/>
        <n v="28.3248"/>
        <n v="19294.71883"/>
        <n v="77.94264"/>
        <n v="8962.34473"/>
        <n v="5526.52648"/>
        <n v="706.0744"/>
        <n v="274.67209"/>
        <n v="91068.18692"/>
        <n v="6305.0372"/>
        <n v="1849.01529"/>
        <n v="7040.5156"/>
        <n v="78580.14806"/>
        <n v="15298.41698"/>
        <n v="220.60888"/>
        <n v="31930.31138"/>
        <n v="21774.77389"/>
        <n v="1665.27849"/>
        <n v="7095.92868"/>
        <n v="8870.67269"/>
        <n v="6381.11066"/>
        <n v="20644.2281"/>
        <n v="11278.99495"/>
        <n v="26836.31144"/>
        <n v="589.45611"/>
        <n v="651.06537"/>
        <n v="2813.17954"/>
        <n v="5148.99034"/>
        <n v="240.75055"/>
        <n v="23466.96253"/>
        <n v="353.91292"/>
        <n v="6664.8773"/>
        <n v="5143.86457"/>
        <n v="629.062"/>
        <n v="748.40077"/>
        <n v="63210.87077"/>
        <n v="2640.42254"/>
        <n v="1866.88799"/>
        <n v="9432.44532"/>
        <n v="114774.8267"/>
        <n v="29953.56875"/>
        <n v="380.36398"/>
        <n v="30780.49955"/>
        <n v="18553.53959"/>
        <n v="1718.42057"/>
        <n v="5653.30807"/>
        <n v="4896.01441"/>
        <n v="3460.34256"/>
        <n v="27164.47741"/>
        <n v="5169.11191"/>
        <n v="21333.16399"/>
        <n v="638.41944"/>
        <n v="576.74364"/>
        <n v="575.4324"/>
        <n v="3932.19843"/>
        <n v="262.18803"/>
        <n v="22947.20836"/>
        <n v="323.13348"/>
        <n v="6816.09701"/>
        <n v="5526.81384"/>
        <n v="1113.05867"/>
        <n v="847.71284"/>
        <n v="71484.54407"/>
        <n v="5577.662"/>
        <n v="2939.9417"/>
        <n v="5416.72609"/>
        <n v="109195.6688"/>
        <n v="23170.63296"/>
        <n v="1167.27647"/>
        <n v="21294.55219"/>
        <n v="12974.23512"/>
        <n v="1149.82399"/>
        <n v="4991.63936"/>
        <n v="4597.33993"/>
        <n v="3536.9404"/>
        <n v="14209.35241"/>
        <n v="10558.21906"/>
        <n v="20577.36338"/>
        <n v="1668.92145"/>
        <n v="353.32283"/>
        <n v="4382.4316"/>
        <n v="242.14703"/>
        <n v="25392.62686"/>
        <n v="204.14865"/>
        <n v="7157.36888"/>
        <n v="4424.42568"/>
        <n v="1345.2488"/>
        <n v="400.35359"/>
        <n v="73455.03497"/>
        <n v="12126.848"/>
        <n v="11302.92003"/>
        <n v="7183.424"/>
        <n v="64636.52936"/>
        <n v="14737.32486"/>
        <n v="1043.8672"/>
        <n v="25324.73402"/>
        <n v="16696.1898"/>
        <n v="1265.82676"/>
        <n v="6345.66093"/>
        <n v="6090.5908"/>
        <n v="7373.6808"/>
        <n v="22860.64192"/>
        <n v="9542.52909"/>
        <n v="19412.20198"/>
        <n v="1206.41145"/>
        <n v="347.96633"/>
        <n v="1726.2724"/>
        <n v="4205.3276"/>
        <n v="99.92332"/>
        <n v="24097.3277"/>
        <n v="250.08608"/>
        <n v="5909.59642"/>
        <n v="4692.01844"/>
        <n v="1375.96561"/>
        <n v="398.94643"/>
        <n v="80877.19065"/>
        <n v="3880.0496"/>
        <n v="5921.81915"/>
        <n v="18030.1284"/>
        <n v="76078.00852"/>
        <n v="14326.16519"/>
        <n v="2089.36738"/>
        <n v="21685.79459"/>
        <n v="13316.42533"/>
        <n v="945.41423"/>
        <n v="5206.00666"/>
        <n v="3926.43561"/>
        <n v="3459.1036"/>
        <n v="18124.801"/>
        <n v="10396.15311"/>
        <n v="18953.33144"/>
        <n v="1522.69733"/>
        <n v="462.87256"/>
        <n v="3252.8692"/>
        <n v="6051.2032"/>
        <n v="434.91402"/>
        <n v="26946.99386"/>
        <n v="402.93686"/>
        <n v="8405.93005"/>
        <n v="5181.52283"/>
        <n v="1591.724"/>
        <n v="617.79842"/>
        <n v="77688.10866"/>
        <n v="16975.0992"/>
        <n v="4093.7764"/>
        <n v="10582.4468"/>
        <n v="69049.33465"/>
        <n v="22282.39486"/>
        <n v="1314.35529"/>
        <n v="23321.96659"/>
        <n v="16561.11051"/>
        <n v="1115.41995"/>
        <n v="5456.04671"/>
        <n v="4470.5379"/>
        <n v="3804.2308"/>
        <n v="17191.0494"/>
        <n v="11475.94909"/>
        <n v="21650.73775"/>
        <n v="995.29556"/>
        <n v="518.28277"/>
        <n v="1151.7716"/>
        <n v="4262.898"/>
        <n v="361.2724"/>
        <n v="21143.56728"/>
        <n v="310.52878"/>
        <n v="7458.91898"/>
        <n v="4774.61308"/>
        <n v="1233.962"/>
        <n v="268.07336"/>
        <n v="80338.24807"/>
        <n v="2142.53175"/>
        <n v="11874.0512"/>
        <n v="64439.7232"/>
        <n v="26929.02857"/>
        <n v="1105.58466"/>
        <n v="17965.70755"/>
        <n v="13719.71255"/>
        <n v="853.02149"/>
        <n v="4319.69534"/>
        <n v="4446.11583"/>
        <n v="3629.7536"/>
        <n v="10543.13824"/>
        <n v="8187.20074"/>
        <n v="17555.12781"/>
        <n v="813.87566"/>
        <n v="279.77072"/>
        <n v="3673.1916"/>
        <n v="237.8683"/>
        <n v="18018.99735"/>
        <n v="248.54779"/>
        <n v="3640.60567"/>
        <n v="3349.7767"/>
        <n v="1478.9116"/>
        <n v="554.91972"/>
        <n v="65562.96869"/>
        <n v="24250.5488"/>
        <n v="1949.45035"/>
        <n v="11184.8552"/>
        <n v="59987.89141"/>
        <n v="21098.7692"/>
        <n v="397.10553"/>
        <n v="24433.57724"/>
        <n v="14954.11199"/>
        <n v="1544.63211"/>
        <n v="4311.02978"/>
        <n v="5970.95465"/>
        <n v="894.8244"/>
        <n v="23769.59748"/>
        <n v="5856.41313"/>
        <n v="20906.99558"/>
        <n v="890.88769"/>
        <n v="230.04102"/>
        <n v="1150.8772"/>
        <n v="3663.7744"/>
        <n v="26880.69513"/>
        <n v="308.04344"/>
        <n v="3428.26195"/>
        <n v="4855.40715"/>
        <n v="134.5124"/>
        <n v="266.96027"/>
        <n v="83404.50177"/>
        <n v="4850.0372"/>
        <n v="2152.27969"/>
        <n v="1558.644"/>
        <n v="92238.08799"/>
        <n v="7580.93308"/>
        <n v="219.89121"/>
        <n v="27023.43608"/>
        <n v="16873.48096"/>
        <n v="1939.8129"/>
        <n v="5347.62641"/>
        <n v="6421.74456"/>
        <n v="2386.56"/>
        <n v="19921.28099"/>
        <n v="5609.38255"/>
        <n v="20727.6954"/>
        <n v="834.53267"/>
        <n v="294.6164"/>
        <n v="3216.2916"/>
        <n v="23279.12376"/>
        <n v="117.46561"/>
        <n v="5384.14107"/>
        <n v="5440.07983"/>
        <n v="710.762"/>
        <n v="441.00996"/>
        <n v="80524.4368"/>
        <n v="6790.062"/>
        <n v="1300.02384"/>
        <n v="1747.0592"/>
        <n v="86315.81772"/>
        <n v="12821.76425"/>
        <n v="1295.53661"/>
        <n v="21346.13778"/>
        <n v="11962.23993"/>
        <n v="1290.76015"/>
        <n v="3345.80617"/>
        <n v="5750.22134"/>
        <n v="775.1868"/>
        <n v="15119.49701"/>
        <n v="6608.85533"/>
        <n v="17295.69204"/>
        <n v="485.52268"/>
        <n v="192.25779"/>
        <n v="3168.64093"/>
        <n v="168.5524"/>
        <n v="16977.15514"/>
        <n v="134.82406"/>
        <n v="4634.55653"/>
        <n v="2811.83952"/>
        <n v="290.15371"/>
        <n v="296.0403"/>
        <n v="66665.79244"/>
        <n v="7275.062"/>
        <n v="2258.69053"/>
        <n v="3260.46287"/>
        <n v="68553.91847"/>
        <n v="42607.16556"/>
        <n v="40.72813"/>
        <n v="33516.69617"/>
        <n v="16511.79672"/>
        <n v="1668.45661"/>
        <n v="7218.77443"/>
        <n v="5169.77653"/>
        <n v="2668.49213"/>
        <n v="25922.36551"/>
        <n v="1538.49135"/>
        <n v="23532.82133"/>
        <n v="814.54166"/>
        <n v="1675.60742"/>
        <n v="14546.82211"/>
        <n v="21546.70054"/>
        <n v="712.7615"/>
        <n v="4956.74108"/>
        <n v="4079.39192"/>
        <n v="1833.80476"/>
        <n v="456.97796"/>
        <n v="66283.08264"/>
        <n v="1455.0124"/>
        <n v="7772.05221"/>
        <n v="5335.5764"/>
        <n v="62378.10383"/>
        <n v="4456.30674"/>
        <n v="163.34973"/>
        <n v="21866.78017"/>
        <n v="11068.87743"/>
        <n v="1212.4604"/>
        <n v="2944.03873"/>
        <n v="4170.63515"/>
        <n v="2224.5424"/>
        <n v="16868.21052"/>
        <n v="4992.72607"/>
        <n v="13535.94014"/>
        <n v="340.70988"/>
        <n v="358.36106"/>
        <n v="431.6824"/>
        <n v="2846.08617"/>
        <n v="15444.96258"/>
        <n v="42.65583"/>
        <n v="2246.11152"/>
        <n v="3526.43296"/>
        <n v="100.9124"/>
        <n v="250.66872"/>
        <n v="49945.32813"/>
        <n v="6076.07605"/>
        <n v="758.18273"/>
        <n v="2719.41613"/>
        <n v="68967.4643"/>
        <n v="5324.41573"/>
        <n v="933.10908"/>
        <n v="25505.5567"/>
        <n v="14611.74418"/>
        <n v="1049.98322"/>
        <n v="3652.88979"/>
        <n v="5968.76947"/>
        <n v="3271.022"/>
        <n v="23188.00254"/>
        <n v="3115.43287"/>
        <n v="18979.41704"/>
        <n v="873.52542"/>
        <n v="348.64757"/>
        <n v="719.732"/>
        <n v="6665.86806"/>
        <n v="112.3724"/>
        <n v="21816.9766"/>
        <n v="375.0867"/>
        <n v="9805.721"/>
        <n v="4514.29263"/>
        <n v="1234.724"/>
        <n v="586.65219"/>
        <n v="88490.54524"/>
        <n v="3259.42775"/>
        <n v="2197.7316"/>
        <n v="75968.22709"/>
        <n v="16882.24885"/>
        <n v="355.3346"/>
        <n v="25863.31651"/>
        <n v="14526.58714"/>
        <n v="1014.29775"/>
        <n v="3414.00565"/>
        <n v="6163.09098"/>
        <n v="6531.46216"/>
        <n v="23256.46012"/>
        <n v="8835.39008"/>
        <n v="20792.05676"/>
        <n v="215.32958"/>
        <n v="399.24227"/>
        <n v="5642.55287"/>
        <n v="15256.9889"/>
        <n v="231.08467"/>
        <n v="4474.76606"/>
        <n v="2613.88144"/>
        <n v="389.0372"/>
        <n v="533.7815"/>
        <n v="60427.46766"/>
        <n v="5230.142"/>
        <n v="4972.72395"/>
        <n v="6122.78198"/>
        <n v="74732.19607"/>
        <n v="7005.68449"/>
        <n v="193.46485"/>
        <n v="18865.86404"/>
        <n v="10596.58094"/>
        <n v="820.27243"/>
        <n v="2721.16772"/>
        <n v="2416.77829"/>
        <n v="524.0368"/>
        <n v="13754.24351"/>
        <n v="4874.96953"/>
        <n v="15441.81956"/>
        <n v="318.77609"/>
        <n v="1095.80809"/>
        <n v="3598.18221"/>
        <n v="56.1924"/>
        <n v="12516.68497"/>
        <n v="106.62191"/>
        <n v="2547.31582"/>
        <n v="2698.59987"/>
        <n v="583.2789"/>
        <n v="341.16209"/>
        <n v="51748.07879"/>
        <n v="2425.4496"/>
        <n v="3579.22282"/>
        <n v="3986.51769"/>
        <n v="49782.1892"/>
        <n v="16329.35249"/>
        <n v="985.12758"/>
        <n v="35836.21081"/>
        <n v="17376.90847"/>
        <n v="1197.14173"/>
        <n v="6039.79611"/>
        <n v="6934.67811"/>
        <n v="3422.04"/>
        <n v="27568.83331"/>
        <n v="5185.67376"/>
        <n v="20488.4106"/>
        <n v="470.38958"/>
        <n v="2009.9489"/>
        <n v="3308.8196"/>
        <n v="10699.23618"/>
        <n v="32.91844"/>
        <n v="20437.51132"/>
        <n v="203.09919"/>
        <n v="10729.22779"/>
        <n v="2996.91407"/>
        <n v="1431.6488"/>
        <n v="416.82988"/>
        <n v="66339.28077"/>
        <n v="7760.0372"/>
        <n v="8056.47747"/>
        <n v="3005.9812"/>
        <n v="74216.74946"/>
        <n v="8528.84501"/>
        <n v="81.45627"/>
        <n v="14375.31565"/>
        <n v="7734.57985"/>
        <n v="879.48176"/>
        <n v="2722.80514"/>
        <n v="1929.71172"/>
        <n v="2607.614"/>
        <n v="9707.27821"/>
        <n v="2971.83445"/>
        <n v="11737.57764"/>
        <n v="316.34623"/>
        <n v="231.36339"/>
        <n v="3875.75223"/>
        <n v="10590.93856"/>
        <n v="26.96372"/>
        <n v="2035.02914"/>
        <n v="2086.8263"/>
        <n v="72.1124"/>
        <n v="199.26295"/>
        <n v="30739.40608"/>
        <n v="970.0124"/>
        <n v="1132.2762"/>
        <n v="3265.62584"/>
        <n v="38027.9991"/>
        <n v="9286.87475"/>
        <n v="498.85465"/>
        <n v="29438.37783"/>
        <n v="18319.0586"/>
        <n v="1995.93136"/>
        <n v="3429.28086"/>
        <n v="6550.96223"/>
        <n v="3738.73404"/>
        <n v="23105.54014"/>
        <n v="8376.43835"/>
        <n v="23848.85252"/>
        <n v="342.87686"/>
        <n v="296.10663"/>
        <n v="1150.8648"/>
        <n v="4341.52752"/>
        <n v="134.25646"/>
        <n v="24649.00832"/>
        <n v="105.23777"/>
        <n v="6013.12553"/>
        <n v="6156.1402"/>
        <n v="473.30777"/>
        <n v="77720.56718"/>
        <n v="6790.2744"/>
        <n v="2821.61411"/>
        <n v="1604.39078"/>
        <n v="103018.9273"/>
        <n v="8574.97952"/>
        <n v="245.593"/>
        <n v="53049.78626"/>
        <n v="25555.70462"/>
        <n v="2691.79103"/>
        <n v="5538.02437"/>
        <n v="8204.47126"/>
        <n v="5304.69031"/>
        <n v="34618.32432"/>
        <n v="8387.26573"/>
        <n v="34101.18901"/>
        <n v="431.96672"/>
        <n v="1248.52012"/>
        <n v="6969.40446"/>
        <n v="359.60951"/>
        <n v="31420.20933"/>
        <n v="388.92545"/>
        <n v="9201.04184"/>
        <n v="6023.90678"/>
        <n v="1254.98347"/>
        <n v="887.62015"/>
        <n v="123286.1436"/>
        <n v="1940.0124"/>
        <n v="9571.39746"/>
        <n v="6540.44363"/>
        <n v="101366.3026"/>
        <n v="13715.2201"/>
        <n v="3016.70271"/>
        <n v="92508.17613"/>
        <n v="45855.11072"/>
        <n v="3687.02061"/>
        <n v="16748.10605"/>
        <n v="12942.57681"/>
        <n v="6883.09271"/>
        <n v="115555.4089"/>
        <n v="15411.82083"/>
        <n v="86719.36781"/>
        <n v="1626.82317"/>
        <n v="1682.22516"/>
        <n v="27311.19128"/>
        <n v="87.47424"/>
        <n v="84205.96474"/>
        <n v="739.28126"/>
        <n v="15639.38166"/>
        <n v="11580.08881"/>
        <n v="2800.66516"/>
        <n v="2666.86022"/>
        <n v="212998.0397"/>
        <n v="16976.4356"/>
        <n v="32143.60355"/>
        <n v="12136.0536"/>
        <n v="218417.1961"/>
        <n v="63848.61508"/>
        <n v="157.0043"/>
        <n v="50645.89552"/>
        <n v="20946.94653"/>
        <n v="1461.53577"/>
        <n v="6433.76387"/>
        <n v="5628.49806"/>
        <n v="8187.6536"/>
        <n v="43230.55056"/>
        <n v="6751.84707"/>
        <n v="36270.35788"/>
        <n v="1358.7525"/>
        <n v="725.46733"/>
        <n v="12468.68733"/>
        <n v="34095.41949"/>
        <n v="547.16063"/>
        <n v="8663.05826"/>
        <n v="6974.47946"/>
        <n v="202.0496"/>
        <n v="833.38979"/>
        <n v="89989.84759"/>
        <n v="14153.026"/>
        <n v="4764.9104"/>
        <n v="62865.53064"/>
        <n v="5423.30956"/>
        <n v="723.43865"/>
        <n v="66764.08726"/>
        <n v="31787.34854"/>
        <n v="2784.94395"/>
        <n v="10509.3746"/>
        <n v="10473.12943"/>
        <n v="19683.266"/>
        <n v="45637.95308"/>
        <n v="9917.96094"/>
        <n v="51200.63188"/>
        <n v="1694.6189"/>
        <n v="1257.5099"/>
        <n v="575.6548"/>
        <n v="9326.99235"/>
        <n v="49051.70084"/>
        <n v="467.90594"/>
        <n v="11892.88054"/>
        <n v="7961.68784"/>
        <n v="1400.0364"/>
        <n v="1546.09082"/>
        <n v="171575.0245"/>
        <n v="19504.154"/>
        <n v="18560.30483"/>
        <n v="13311.5728"/>
        <n v="142193.1385"/>
        <n v="19719.98372"/>
        <n v="495.99201"/>
        <n v="61964.21036"/>
        <n v="36515.99048"/>
        <n v="3086.92868"/>
        <n v="16435.42698"/>
        <n v="16976.0792"/>
        <n v="5534.3352"/>
        <n v="76086.98784"/>
        <n v="16956.76401"/>
        <n v="65035.1865"/>
        <n v="1549.51076"/>
        <n v="645.45676"/>
        <n v="10118.9616"/>
        <n v="312.23144"/>
        <n v="74072.59302"/>
        <n v="536.79475"/>
        <n v="16175.73409"/>
        <n v="11336.10082"/>
        <n v="1788.7364"/>
        <n v="1217.07856"/>
        <n v="200745.4692"/>
        <n v="2979.452"/>
        <n v="14268.27033"/>
        <n v="6215.5268"/>
        <n v="256774.5737"/>
        <n v="41151.78184"/>
        <n v="1627.61722"/>
        <n v="71640.31086"/>
        <n v="36679.43375"/>
        <n v="2755.93437"/>
        <n v="13454.3101"/>
        <n v="12670.21842"/>
        <n v="6748.0488"/>
        <n v="75099.4674"/>
        <n v="17752.62667"/>
        <n v="56262.24785"/>
        <n v="1764.89115"/>
        <n v="2946.82529"/>
        <n v="9025.7888"/>
        <n v="224.7448"/>
        <n v="67639.8886"/>
        <n v="538.98952"/>
        <n v="24860.33602"/>
        <n v="11820.19856"/>
        <n v="1249.2488"/>
        <n v="1073.10151"/>
        <n v="186946.4963"/>
        <n v="8730.0868"/>
        <n v="29854.2831"/>
        <n v="8732.8692"/>
        <n v="215713.7076"/>
        <n v="32310.73517"/>
        <n v="198.40992"/>
        <n v="47936.58192"/>
        <n v="27559.90709"/>
        <n v="2323.66761"/>
        <n v="8289.20796"/>
        <n v="9967.15349"/>
        <n v="7488.83252"/>
        <n v="33222.22009"/>
        <n v="10253.67168"/>
        <n v="36827.54589"/>
        <n v="494.54477"/>
        <n v="490.17381"/>
        <n v="8455.70475"/>
        <n v="256.02664"/>
        <n v="41214.13881"/>
        <n v="235.53443"/>
        <n v="6134.20256"/>
        <n v="7533.14799"/>
        <n v="1129.2488"/>
        <n v="1217.6755"/>
        <n v="106035.7133"/>
        <n v="3287.17645"/>
        <n v="19746.46629"/>
        <n v="6290.15186"/>
        <n v="108428.2569"/>
        <n v="43048.68197"/>
        <n v="1138.03521"/>
        <n v="33526.39279"/>
        <n v="20467.68228"/>
        <n v="2392.23157"/>
        <n v="6943.26924"/>
        <n v="7264.2116"/>
        <n v="7597.8572"/>
        <n v="24810.23049"/>
        <n v="7629.44394"/>
        <n v="31312.16694"/>
        <n v="1320.09267"/>
        <n v="1075.22356"/>
        <n v="143.9724"/>
        <n v="6504.93932"/>
        <n v="121.79498"/>
        <n v="26306.9308"/>
        <n v="348.05713"/>
        <n v="8366.77509"/>
        <n v="5960.12316"/>
        <n v="2701.47767"/>
        <n v="579.05259"/>
        <n v="111710.8814"/>
        <n v="35890.2604"/>
        <n v="21626.5278"/>
        <n v="7067.2404"/>
        <n v="98155.01124"/>
        <n v="25393.54675"/>
        <n v="833.08796"/>
        <n v="11300.69349"/>
        <n v="8306.35869"/>
        <n v="764.41676"/>
        <n v="2005.25841"/>
        <n v="2645.04288"/>
        <n v="1626.79503"/>
        <n v="9620.48778"/>
        <n v="4804.12678"/>
        <n v="9870.7727"/>
        <n v="486.95574"/>
        <n v="233.46648"/>
        <n v="1536.3072"/>
        <n v="2046.2896"/>
        <n v="11177.90102"/>
        <n v="210.04449"/>
        <n v="2919.79389"/>
        <n v="2139.86685"/>
        <n v="1070.9868"/>
        <n v="173.7621"/>
        <n v="36158.42498"/>
        <n v="12610.0868"/>
        <n v="3069.48977"/>
        <n v="5077.0188"/>
        <n v="48899.05318"/>
        <n v="18583.61466"/>
        <n v="2593.25041"/>
        <n v="52033.36308"/>
        <n v="26221.73903"/>
        <n v="3096.84984"/>
        <n v="9306.88048"/>
        <n v="6788.87191"/>
        <n v="4627.52252"/>
        <n v="29381.37003"/>
        <n v="18079.39627"/>
        <n v="34237.42745"/>
        <n v="452.09582"/>
        <n v="1966.7379"/>
        <n v="1007.1148"/>
        <n v="7589.78087"/>
        <n v="40734.48388"/>
        <n v="731.03187"/>
        <n v="13477.28904"/>
        <n v="6637.72047"/>
        <n v="2502.3984"/>
        <n v="955.1383"/>
        <n v="139532.159"/>
        <n v="15815.8504"/>
        <n v="9640.6502"/>
        <n v="11048.32083"/>
        <n v="184809.7519"/>
        <n v="41712.23798"/>
        <n v="4829.28228"/>
        <n v="40542.28756"/>
        <n v="27585.05831"/>
        <n v="2856.2054"/>
        <n v="7123.02937"/>
        <n v="13115.62498"/>
        <n v="4716.68377"/>
        <n v="45894.02376"/>
        <n v="21179.08659"/>
        <n v="36439.9561"/>
        <n v="459.47246"/>
        <n v="1142.3695"/>
        <n v="513.8824"/>
        <n v="5930.70159"/>
        <n v="87.46184"/>
        <n v="27920.27983"/>
        <n v="182.49527"/>
        <n v="17937.44682"/>
        <n v="6348.17856"/>
        <n v="2893.4984"/>
        <n v="939.63852"/>
        <n v="112229.9547"/>
        <n v="5820.0744"/>
        <n v="3807.5291"/>
        <n v="22708.21328"/>
        <n v="87301.25689"/>
        <n v="28762.46463"/>
        <n v="2178.73353"/>
        <n v="14539.47331"/>
        <n v="12654.51529"/>
        <n v="1300.42127"/>
        <n v="4047.79904"/>
        <n v="4796.99805"/>
        <n v="1520.67804"/>
        <n v="12929.88182"/>
        <n v="8288.26489"/>
        <n v="14809.20299"/>
        <n v="484.35497"/>
        <n v="1227.41117"/>
        <n v="1713.90735"/>
        <n v="16021.73227"/>
        <n v="198.65723"/>
        <n v="2092.67763"/>
        <n v="3181.95696"/>
        <n v="1104.4868"/>
        <n v="151.50794"/>
        <n v="60260.72466"/>
        <n v="18699.91411"/>
        <n v="2409.46116"/>
        <n v="9051.54168"/>
        <n v="61752.56297"/>
        <n v="19559.17273"/>
        <n v="474.26692"/>
        <n v="40022.35397"/>
        <n v="26818.3611"/>
        <n v="2783.75244"/>
        <n v="9458.75944"/>
        <n v="12502.74098"/>
        <n v="6319.70806"/>
        <n v="44216.51508"/>
        <n v="17699.49814"/>
        <n v="32226.89288"/>
        <n v="909.56257"/>
        <n v="556.36395"/>
        <n v="1294.8372"/>
        <n v="4954.04203"/>
        <n v="281.3944"/>
        <n v="36066.93284"/>
        <n v="695.56796"/>
        <n v="6844.15776"/>
        <n v="6708.8296"/>
        <n v="1690.7488"/>
        <n v="618.71131"/>
        <n v="113415.2947"/>
        <n v="37466.7608"/>
        <n v="8854.05872"/>
        <n v="16146.86167"/>
        <n v="138364.1993"/>
        <n v="46394.50567"/>
        <n v="72.43529"/>
        <n v="23901.63079"/>
        <n v="14285.71664"/>
        <n v="1332.03743"/>
        <n v="3999.84156"/>
        <n v="4531.62981"/>
        <n v="4119.6908"/>
        <n v="17651.24185"/>
        <n v="10270.47699"/>
        <n v="14919.08181"/>
        <n v="499.05216"/>
        <n v="573.78713"/>
        <n v="288.5792"/>
        <n v="3528.78735"/>
        <n v="224.7324"/>
        <n v="17058.88769"/>
        <n v="280.87259"/>
        <n v="3303.96538"/>
        <n v="3269.20944"/>
        <n v="775.19488"/>
        <n v="747.30432"/>
        <n v="49759.42074"/>
        <n v="13572.37491"/>
        <n v="2757.65742"/>
        <n v="1158.05327"/>
        <n v="61585.27357"/>
        <n v="8809.61398"/>
        <n v="538.56561"/>
        <n v="23754.66458"/>
        <n v="13220.50055"/>
        <n v="913.40774"/>
        <n v="3871.69996"/>
        <n v="3833.16449"/>
        <n v="4670.44333"/>
        <n v="18351.18739"/>
        <n v="6834.19977"/>
        <n v="15652.10087"/>
        <n v="914.00101"/>
        <n v="148.22117"/>
        <n v="2205.74971"/>
        <n v="4261.23222"/>
        <n v="19668.08645"/>
        <n v="201.465"/>
        <n v="5242.74099"/>
        <n v="4299.77515"/>
        <n v="437.4744"/>
        <n v="377.50394"/>
        <n v="56727.93759"/>
        <n v="10670.0496"/>
        <n v="1719.98774"/>
        <n v="1768.8728"/>
        <n v="55667.86341"/>
        <n v="8941.43405"/>
        <n v="1012.31249"/>
        <n v="19016.46503"/>
        <n v="10446.86259"/>
        <n v="745.65659"/>
        <n v="2736.03826"/>
        <n v="3740.26291"/>
        <n v="3904.6948"/>
        <n v="12826.13685"/>
        <n v="4170.25757"/>
        <n v="9740.87717"/>
        <n v="254.5299"/>
        <n v="1300.88125"/>
        <n v="255.73386"/>
        <n v="2236.82292"/>
        <n v="12117.36371"/>
        <n v="323.23176"/>
        <n v="2839.28163"/>
        <n v="2703.56632"/>
        <n v="735.89612"/>
        <n v="293.02329"/>
        <n v="50084.81167"/>
        <n v="7921.51696"/>
        <n v="3037.25278"/>
        <n v="3206.78487"/>
        <n v="58823.63689"/>
        <n v="8448.30175"/>
        <n v="794.35567"/>
        <n v="38034.41517"/>
        <n v="20914.70113"/>
        <n v="1812.6154"/>
        <n v="5155.98279"/>
        <n v="6589.56852"/>
        <n v="4509.91337"/>
        <n v="26396.31561"/>
        <n v="5708.1739"/>
        <n v="24177.96658"/>
        <n v="734.42697"/>
        <n v="1346.62592"/>
        <n v="10487.45576"/>
        <n v="288.23904"/>
        <n v="27403.36925"/>
        <n v="262.97454"/>
        <n v="5771.57028"/>
        <n v="4033.87235"/>
        <n v="1571.79587"/>
        <n v="686.02985"/>
        <n v="69808.54819"/>
        <n v="3152.6372"/>
        <n v="5748.25893"/>
        <n v="8611.46237"/>
        <n v="106041.9579"/>
        <n v="9944.0283"/>
        <n v="235.72936"/>
        <n v="24280.2548"/>
        <n v="12108.23902"/>
        <n v="1410.29136"/>
        <n v="3902.9693"/>
        <n v="5178.65602"/>
        <n v="731.0988"/>
        <n v="15654.13776"/>
        <n v="5787.93986"/>
        <n v="12847.94922"/>
        <n v="256.26799"/>
        <n v="207.69556"/>
        <n v="1838.72937"/>
        <n v="3762.88648"/>
        <n v="14518.53043"/>
        <n v="155.81991"/>
        <n v="1823.73695"/>
        <n v="4077.94807"/>
        <n v="214.71107"/>
        <n v="42621.21568"/>
        <n v="10670.0744"/>
        <n v="7557.19547"/>
        <n v="2648.2668"/>
        <n v="74098.97529"/>
        <n v="5394.84031"/>
        <n v="276.00156"/>
        <n v="17276.81047"/>
        <n v="10144.25966"/>
        <n v="964.62081"/>
        <n v="3711.61826"/>
        <n v="3617.23"/>
        <n v="1025.0792"/>
        <n v="15479.55806"/>
        <n v="5467.24604"/>
        <n v="12579.11504"/>
        <n v="327.73106"/>
        <n v="197.02167"/>
        <n v="2861.19074"/>
        <n v="2516.104"/>
        <n v="288.22522"/>
        <n v="13533.60102"/>
        <n v="473.43419"/>
        <n v="2789.33524"/>
        <n v="2541.63203"/>
        <n v="1277.8364"/>
        <n v="426.77931"/>
        <n v="46056.58627"/>
        <n v="15982.46488"/>
        <n v="1223.4831"/>
        <n v="818.6116"/>
        <n v="41923.90531"/>
        <n v="3415.58484"/>
        <n v="124.88175"/>
        <n v="18540.78205"/>
        <n v="10218.90987"/>
        <n v="864.9943"/>
        <n v="2459.22601"/>
        <n v="2747.57761"/>
        <n v="2293.59492"/>
        <n v="11580.16674"/>
        <n v="3373.14993"/>
        <n v="12152.95809"/>
        <n v="125.26757"/>
        <n v="145.82828"/>
        <n v="255.72497"/>
        <n v="2890.11886"/>
        <n v="11274.47643"/>
        <n v="87.58084"/>
        <n v="1352.64794"/>
        <n v="2677.96902"/>
        <n v="720.0496"/>
        <n v="541.87508"/>
        <n v="28187.34794"/>
        <n v="3341.11923"/>
        <n v="2372.09871"/>
        <n v="1609.5944"/>
        <n v="39296.83302"/>
        <n v="4541.23839"/>
        <n v="20.36407"/>
        <n v="54.49828"/>
        <n v="32.06746"/>
        <n v="8.1224"/>
        <n v="70.96209"/>
        <n v="14.88103"/>
        <n v="62.65373"/>
        <n v="55.96794"/>
        <n v="6.93935"/>
        <n v="53.78294"/>
        <n v="248.79649"/>
        <n v="29.24209"/>
        <n v="188.4524"/>
        <n v="174.92921"/>
        <n v="50.4729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121" sheet="Raw_Data"/>
  </cacheSource>
  <cacheFields>
    <cacheField name="YEAR_MONTH" numFmtId="0">
      <sharedItems containsSemiMixedTypes="0" containsString="0" containsNumber="1" containsInteger="1">
        <n v="202412.0"/>
      </sharedItems>
    </cacheField>
    <cacheField name="REGIONAL_OFFICE_NAME" numFmtId="0">
      <sharedItems>
        <s v="EAST OF ENGLAND"/>
        <s v="LONDON"/>
        <s v="MIDLANDS"/>
        <s v="NORTH EAST AND YORKSHIRE"/>
        <s v="NORTH WEST"/>
        <s v="SOUTH EAST"/>
        <s v="SOUTH WEST"/>
        <s v="UNIDENTIFIED"/>
      </sharedItems>
    </cacheField>
    <cacheField name="ICB_NAME" numFmtId="0">
      <sharedItems>
        <s v="NHS BEDFORDSHIRE, LUTON AND MILTON KEYNE"/>
        <s v="NHS CAMBRIDGESHIRE AND PETERBOROUGH INTE"/>
        <s v="NHS HERTFORDSHIRE AND WEST ESSEX INTEGRA"/>
        <s v="NHS MID AND SOUTH ESSEX INTEGRATED CARE "/>
        <s v="NHS NORFOLK AND WAVENEY INTEGRATED CARE "/>
        <s v="NHS SUFFOLK AND NORTH EAST ESSEX INTEGRA"/>
        <s v="NHS NORTH CENTRAL LONDON INTEGRATED CARE"/>
        <s v="NHS NORTH EAST LONDON INTEGRATED CARE BO"/>
        <s v="NHS NORTH WEST LONDON INTEGRATED CARE BO"/>
        <s v="NHS SOUTH EAST LONDON INTEGRATED CARE BO"/>
        <s v="NHS SOUTH WEST LONDON INTEGRATED CARE BO"/>
        <s v="NHS BIRMINGHAM AND SOLIHULL INTEGRATED C"/>
        <s v="NHS BLACK COUNTRY INTEGRATED CARE BOARD"/>
        <s v="NHS COVENTRY AND WARWICKSHIRE INTEGRATED"/>
        <s v="NHS DERBY AND DERBYSHIRE INTEGRATED CARE"/>
        <s v="NHS HEREFORDSHIRE AND WORCESTERSHIRE INT"/>
        <s v="NHS LEICESTER, LEICESTERSHIRE AND RUTLAN"/>
        <s v="NHS LINCOLNSHIRE INTEGRATED CARE BOARD"/>
        <s v="NHS NORTHAMPTONSHIRE INTEGRATED CARE BOA"/>
        <s v="NHS NOTTINGHAM AND NOTTINGHAMSHIRE INTEG"/>
        <s v="NHS SHROPSHIRE, TELFORD AND WREKIN INTEG"/>
        <s v="NHS STAFFORDSHIRE AND STOKE-ON-TRENT INT"/>
        <s v="NHS HUMBER AND NORTH YORKSHIRE INTEGRATE"/>
        <s v="NHS NORTH EAST AND NORTH CUMBRIA INTEGRA"/>
        <s v="NHS SOUTH YORKSHIRE INTEGRATED CARE BOAR"/>
        <s v="NHS WEST YORKSHIRE INTEGRATED CARE BOARD"/>
        <s v="NHS CHESHIRE AND MERSEYSIDE INTEGRATED C"/>
        <s v="NHS GREATER MANCHESTER INTEGRATED CARE B"/>
        <s v="NHS LANCASHIRE AND SOUTH CUMBRIA INTEGRA"/>
        <s v="NHS BUCKINGHAMSHIRE, OXFORDSHIRE AND BER"/>
        <s v="NHS FRIMLEY INTEGRATED CARE BOARD"/>
        <s v="NHS HAMPSHIRE AND ISLE OF WIGHT INTEGRAT"/>
        <s v="NHS KENT AND MEDWAY INTEGRATED CARE BOAR"/>
        <s v="NHS SURREY HEARTLANDS INTEGRATED CARE BO"/>
        <s v="NHS SUSSEX INTEGRATED CARE BOARD"/>
        <s v="NHS BATH AND NORTH EAST SOMERSET, SWINDO"/>
        <s v="NHS BRISTOL, NORTH SOMERSET AND SOUTH GL"/>
        <s v="NHS CORNWALL AND THE ISLES OF SCILLY INT"/>
        <s v="NHS DEVON INTEGRATED CARE BOARD"/>
        <s v="NHS DORSET INTEGRATED CARE BOARD"/>
        <s v="NHS GLOUCESTERSHIRE INTEGRATED CARE BOAR"/>
        <s v="NHS SOMERSET INTEGRATED CARE BOARD"/>
        <s v="UNIDENTIFIED"/>
      </sharedItems>
    </cacheField>
    <cacheField name="DRUG" numFmtId="0">
      <sharedItems>
        <s v="Agomelatine"/>
        <s v="Amitriptyline hydrochloride"/>
        <s v="Citalopram hydrobromide"/>
        <s v="Citalopram hydrochloride"/>
        <s v="Clomipramine hydrochloride"/>
        <s v="Dosulepin hydrochloride"/>
        <s v="Doxepin"/>
        <s v="Duloxetine hydrochloride"/>
        <s v="Escitalopram"/>
        <s v="Fluoxetine hydrochloride"/>
        <s v="Fluvoxamine maleate"/>
        <s v="Imipramine hydrochloride"/>
        <s v="Lofepramine hydrochloride"/>
        <s v="Mianserin hydrochloride"/>
        <s v="Mirtazapine"/>
        <s v="Moclobemide"/>
        <s v="Nortriptyline"/>
        <s v="Paroxetine hydrochloride"/>
        <s v="Phenelzine sulfate"/>
        <s v="Reboxetine"/>
        <s v="Sertraline hydrochloride"/>
        <s v="Tranylcypromine sulfate"/>
        <s v="Trazodone hydrochloride"/>
        <s v="Trimipramine maleate"/>
        <s v="Venlafaxine"/>
        <s v="Vortioxetine"/>
        <s v="Isocarboxazid"/>
      </sharedItems>
    </cacheField>
    <cacheField name="ITEMS" numFmtId="0">
      <sharedItems containsSemiMixedTypes="0" containsString="0" containsNumber="1" containsInteger="1">
        <n v="13.0"/>
        <n v="18955.0"/>
        <n v="15618.0"/>
        <n v="109.0"/>
        <n v="278.0"/>
        <n v="318.0"/>
        <n v="10.0"/>
        <n v="3598.0"/>
        <n v="2122.0"/>
        <n v="7980.0"/>
        <n v="27.0"/>
        <n v="62.0"/>
        <n v="124.0"/>
        <n v="6.0"/>
        <n v="11350.0"/>
        <n v="8.0"/>
        <n v="782.0"/>
        <n v="1329.0"/>
        <n v="2.0"/>
        <n v="11.0"/>
        <n v="27852.0"/>
        <n v="1.0"/>
        <n v="1496.0"/>
        <n v="7933.0"/>
        <n v="316.0"/>
        <n v="15.0"/>
        <n v="27415.0"/>
        <n v="22722.0"/>
        <n v="101.0"/>
        <n v="344.0"/>
        <n v="541.0"/>
        <n v="21.0"/>
        <n v="4076.0"/>
        <n v="2028.0"/>
        <n v="9536.0"/>
        <n v="39.0"/>
        <n v="155.0"/>
        <n v="15811.0"/>
        <n v="19.0"/>
        <n v="1689.0"/>
        <n v="1783.0"/>
        <n v="26.0"/>
        <n v="37613.0"/>
        <n v="818.0"/>
        <n v="9138.0"/>
        <n v="308.0"/>
        <n v="60.0"/>
        <n v="30403.0"/>
        <n v="32236.0"/>
        <n v="156.0"/>
        <n v="436.0"/>
        <n v="489.0"/>
        <n v="30.0"/>
        <n v="5728.0"/>
        <n v="3653.0"/>
        <n v="13680.0"/>
        <n v="45.0"/>
        <n v="167.0"/>
        <n v="266.0"/>
        <n v="20320.0"/>
        <n v="1840.0"/>
        <n v="2697.0"/>
        <n v="37.0"/>
        <n v="44938.0"/>
        <n v="2365.0"/>
        <n v="12542.0"/>
        <n v="471.0"/>
        <n v="22.0"/>
        <n v="31577.0"/>
        <n v="28984.0"/>
        <n v="125.0"/>
        <n v="473.0"/>
        <n v="525.0"/>
        <n v="7054.0"/>
        <n v="3181.0"/>
        <n v="12958.0"/>
        <n v="123.0"/>
        <n v="108.0"/>
        <n v="18166.0"/>
        <n v="5.0"/>
        <n v="1764.0"/>
        <n v="2384.0"/>
        <n v="39854.0"/>
        <n v="3.0"/>
        <n v="702.0"/>
        <n v="10874.0"/>
        <n v="640.0"/>
        <n v="17.0"/>
        <n v="32965.0"/>
        <n v="32897.0"/>
        <n v="144.0"/>
        <n v="645.0"/>
        <n v="815.0"/>
        <n v="34.0"/>
        <n v="7416.0"/>
        <n v="6267.0"/>
        <n v="16216.0"/>
        <n v="245.0"/>
        <n v="205.0"/>
        <n v="25026.0"/>
        <n v="14.0"/>
        <n v="2395.0"/>
        <n v="2596.0"/>
        <n v="43.0"/>
        <n v="43439.0"/>
        <n v="1333.0"/>
        <n v="17800.0"/>
        <n v="1375.0"/>
        <n v="31751.0"/>
        <n v="29972.0"/>
        <n v="142.0"/>
        <n v="536.0"/>
        <n v="468.0"/>
        <n v="32.0"/>
        <n v="9690.0"/>
        <n v="2966.0"/>
        <n v="13189.0"/>
        <n v="61.0"/>
        <n v="214.0"/>
        <n v="171.0"/>
        <n v="23155.0"/>
        <n v="20.0"/>
        <n v="2266.0"/>
        <n v="2963.0"/>
        <n v="9.0"/>
        <n v="59.0"/>
        <n v="46916.0"/>
        <n v="1590.0"/>
        <n v="28.0"/>
        <n v="15301.0"/>
        <n v="994.0"/>
        <n v="57.0"/>
        <n v="22701.0"/>
        <n v="18236.0"/>
        <n v="75.0"/>
        <n v="387.0"/>
        <n v="440.0"/>
        <n v="5067.0"/>
        <n v="4060.0"/>
        <n v="9356.0"/>
        <n v="191.0"/>
        <n v="209.0"/>
        <n v="23819.0"/>
        <n v="1789.0"/>
        <n v="2279.0"/>
        <n v="12.0"/>
        <n v="35482.0"/>
        <n v="1236.0"/>
        <n v="35.0"/>
        <n v="8469.0"/>
        <n v="476.0"/>
        <n v="58.0"/>
        <n v="33192.0"/>
        <n v="25540.0"/>
        <n v="98.0"/>
        <n v="510.0"/>
        <n v="684.0"/>
        <n v="42.0"/>
        <n v="9787.0"/>
        <n v="4079.0"/>
        <n v="11410.0"/>
        <n v="140.0"/>
        <n v="174.0"/>
        <n v="27842.0"/>
        <n v="1940.0"/>
        <n v="2833.0"/>
        <n v="47793.0"/>
        <n v="4.0"/>
        <n v="1226.0"/>
        <n v="66.0"/>
        <n v="10776.0"/>
        <n v="584.0"/>
        <n v="172.0"/>
        <n v="25670.0"/>
        <n v="19412.0"/>
        <n v="74.0"/>
        <n v="399.0"/>
        <n v="528.0"/>
        <n v="7863.0"/>
        <n v="4168.0"/>
        <n v="11399.0"/>
        <n v="200.0"/>
        <n v="30426.0"/>
        <n v="2968.0"/>
        <n v="2887.0"/>
        <n v="33.0"/>
        <n v="48241.0"/>
        <n v="1630.0"/>
        <n v="10912.0"/>
        <n v="934.0"/>
        <n v="91.0"/>
        <n v="23820.0"/>
        <n v="20776.0"/>
        <n v="85.0"/>
        <n v="371.0"/>
        <n v="386.0"/>
        <n v="5799.0"/>
        <n v="4556.0"/>
        <n v="10716.0"/>
        <n v="50.0"/>
        <n v="158.0"/>
        <n v="145.0"/>
        <n v="22285.0"/>
        <n v="2177.0"/>
        <n v="2153.0"/>
        <n v="38893.0"/>
        <n v="1075.0"/>
        <n v="38.0"/>
        <n v="8904.0"/>
        <n v="954.0"/>
        <n v="19931.0"/>
        <n v="19554.0"/>
        <n v="68.0"/>
        <n v="362.0"/>
        <n v="3762.0"/>
        <n v="3512.0"/>
        <n v="9917.0"/>
        <n v="128.0"/>
        <n v="22053.0"/>
        <n v="25.0"/>
        <n v="1099.0"/>
        <n v="1714.0"/>
        <n v="38945.0"/>
        <n v="1142.0"/>
        <n v="48.0"/>
        <n v="9491.0"/>
        <n v="820.0"/>
        <n v="25747.0"/>
        <n v="20265.0"/>
        <n v="122.0"/>
        <n v="273.0"/>
        <n v="453.0"/>
        <n v="6711.0"/>
        <n v="2507.0"/>
        <n v="10205.0"/>
        <n v="40.0"/>
        <n v="82.0"/>
        <n v="106.0"/>
        <n v="24732.0"/>
        <n v="730.0"/>
        <n v="18.0"/>
        <n v="41925.0"/>
        <n v="433.0"/>
        <n v="10369.0"/>
        <n v="382.0"/>
        <n v="27861.0"/>
        <n v="22910.0"/>
        <n v="161.0"/>
        <n v="352.0"/>
        <n v="606.0"/>
        <n v="6317.0"/>
        <n v="2683.0"/>
        <n v="11056.0"/>
        <n v="52.0"/>
        <n v="93.0"/>
        <n v="22429.0"/>
        <n v="1153.0"/>
        <n v="2526.0"/>
        <n v="44687.0"/>
        <n v="572.0"/>
        <n v="10487.0"/>
        <n v="534.0"/>
        <n v="23834.0"/>
        <n v="18372.0"/>
        <n v="107.0"/>
        <n v="240.0"/>
        <n v="492.0"/>
        <n v="7.0"/>
        <n v="4759.0"/>
        <n v="3476.0"/>
        <n v="10347.0"/>
        <n v="16775.0"/>
        <n v="1667.0"/>
        <n v="1343.0"/>
        <n v="16.0"/>
        <n v="36946.0"/>
        <n v="1042.0"/>
        <n v="31.0"/>
        <n v="9143.0"/>
        <n v="1699.0"/>
        <n v="29812.0"/>
        <n v="20538.0"/>
        <n v="139.0"/>
        <n v="537.0"/>
        <n v="447.0"/>
        <n v="8947.0"/>
        <n v="710.0"/>
        <n v="14830.0"/>
        <n v="221.0"/>
        <n v="20750.0"/>
        <n v="1627.0"/>
        <n v="2185.0"/>
        <n v="46.0"/>
        <n v="43355.0"/>
        <n v="2875.0"/>
        <n v="9216.0"/>
        <n v="20828.0"/>
        <n v="13851.0"/>
        <n v="97.0"/>
        <n v="262.0"/>
        <n v="359.0"/>
        <n v="5512.0"/>
        <n v="2505.0"/>
        <n v="8784.0"/>
        <n v="117.0"/>
        <n v="100.0"/>
        <n v="14196.0"/>
        <n v="745.0"/>
        <n v="1674.0"/>
        <n v="29480.0"/>
        <n v="465.0"/>
        <n v="7477.0"/>
        <n v="195.0"/>
        <n v="25860.0"/>
        <n v="21569.0"/>
        <n v="84.0"/>
        <n v="288.0"/>
        <n v="8076.0"/>
        <n v="1538.0"/>
        <n v="12092.0"/>
        <n v="120.0"/>
        <n v="271.0"/>
        <n v="20242.0"/>
        <n v="1867.0"/>
        <n v="2269.0"/>
        <n v="40381.0"/>
        <n v="822.0"/>
        <n v="9830.0"/>
        <n v="793.0"/>
        <n v="28838.0"/>
        <n v="24520.0"/>
        <n v="90.0"/>
        <n v="345.0"/>
        <n v="674.0"/>
        <n v="8664.0"/>
        <n v="5136.0"/>
        <n v="13756.0"/>
        <n v="237.0"/>
        <n v="16118.0"/>
        <n v="1256.0"/>
        <n v="36.0"/>
        <n v="34985.0"/>
        <n v="2008.0"/>
        <n v="10065.0"/>
        <n v="379.0"/>
        <n v="20202.0"/>
        <n v="17606.0"/>
        <n v="71.0"/>
        <n v="247.0"/>
        <n v="178.0"/>
        <n v="5710.0"/>
        <n v="2954.0"/>
        <n v="9904.0"/>
        <n v="268.0"/>
        <n v="12919.0"/>
        <n v="881.0"/>
        <n v="1573.0"/>
        <n v="23.0"/>
        <n v="32223.0"/>
        <n v="7943.0"/>
        <n v="797.0"/>
        <n v="35869.0"/>
        <n v="25477.0"/>
        <n v="104.0"/>
        <n v="564.0"/>
        <n v="9467.0"/>
        <n v="2844.0"/>
        <n v="13375.0"/>
        <n v="377.0"/>
        <n v="366.0"/>
        <n v="20369.0"/>
        <n v="2611.0"/>
        <n v="1470.0"/>
        <n v="47439.0"/>
        <n v="2922.0"/>
        <n v="10146.0"/>
        <n v="363.0"/>
        <n v="12584.0"/>
        <n v="9681.0"/>
        <n v="133.0"/>
        <n v="1341.0"/>
        <n v="5540.0"/>
        <n v="89.0"/>
        <n v="113.0"/>
        <n v="8571.0"/>
        <n v="403.0"/>
        <n v="760.0"/>
        <n v="17554.0"/>
        <n v="535.0"/>
        <n v="4220.0"/>
        <n v="24.0"/>
        <n v="29297.0"/>
        <n v="26329.0"/>
        <n v="165.0"/>
        <n v="234.0"/>
        <n v="552.0"/>
        <n v="7971.0"/>
        <n v="3718.0"/>
        <n v="13297.0"/>
        <n v="112.0"/>
        <n v="148.0"/>
        <n v="23201.0"/>
        <n v="1962.0"/>
        <n v="3105.0"/>
        <n v="45737.0"/>
        <n v="831.0"/>
        <n v="11180.0"/>
        <n v="329.0"/>
        <n v="55458.0"/>
        <n v="40415.0"/>
        <n v="224.0"/>
        <n v="865.0"/>
        <n v="12734.0"/>
        <n v="4506.0"/>
        <n v="24043.0"/>
        <n v="277.0"/>
        <n v="274.0"/>
        <n v="33149.0"/>
        <n v="2865.0"/>
        <n v="3420.0"/>
        <n v="73.0"/>
        <n v="74649.0"/>
        <n v="3766.0"/>
        <n v="14651.0"/>
        <n v="602.0"/>
        <n v="354.0"/>
        <n v="107236.0"/>
        <n v="73190.0"/>
        <n v="297.0"/>
        <n v="1565.0"/>
        <n v="1351.0"/>
        <n v="72.0"/>
        <n v="53625.0"/>
        <n v="9088.0"/>
        <n v="66344.0"/>
        <n v="629.0"/>
        <n v="1318.0"/>
        <n v="105543.0"/>
        <n v="63.0"/>
        <n v="6105.0"/>
        <n v="7591.0"/>
        <n v="227.0"/>
        <n v="165815.0"/>
        <n v="23659.0"/>
        <n v="114.0"/>
        <n v="40719.0"/>
        <n v="3669.0"/>
        <n v="55792.0"/>
        <n v="33525.0"/>
        <n v="130.0"/>
        <n v="430.0"/>
        <n v="607.0"/>
        <n v="64.0"/>
        <n v="16011.0"/>
        <n v="3458.0"/>
        <n v="26060.0"/>
        <n v="80.0"/>
        <n v="319.0"/>
        <n v="533.0"/>
        <n v="36225.0"/>
        <n v="29.0"/>
        <n v="2681.0"/>
        <n v="4147.0"/>
        <n v="51.0"/>
        <n v="67892.0"/>
        <n v="7737.0"/>
        <n v="9475.0"/>
        <n v="76.0"/>
        <n v="67629.0"/>
        <n v="45049.0"/>
        <n v="897.0"/>
        <n v="1122.0"/>
        <n v="115.0"/>
        <n v="14806.0"/>
        <n v="4933.0"/>
        <n v="31588.0"/>
        <n v="95.0"/>
        <n v="332.0"/>
        <n v="446.0"/>
        <n v="53297.0"/>
        <n v="3555.0"/>
        <n v="4237.0"/>
        <n v="96605.0"/>
        <n v="7604.0"/>
        <n v="19210.0"/>
        <n v="1134.0"/>
        <n v="62759.0"/>
        <n v="53053.0"/>
        <n v="257.0"/>
        <n v="1170.0"/>
        <n v="1533.0"/>
        <n v="8417.0"/>
        <n v="38298.0"/>
        <n v="260.0"/>
        <n v="400.0"/>
        <n v="75264.0"/>
        <n v="5036.0"/>
        <n v="5940.0"/>
        <n v="78.0"/>
        <n v="128167.0"/>
        <n v="5296.0"/>
        <n v="34151.0"/>
        <n v="74164.0"/>
        <n v="54809.0"/>
        <n v="228.0"/>
        <n v="1076.0"/>
        <n v="1194.0"/>
        <n v="27590.0"/>
        <n v="9296.0"/>
        <n v="32905.0"/>
        <n v="369.0"/>
        <n v="77940.0"/>
        <n v="7222.0"/>
        <n v="6450.0"/>
        <n v="88.0"/>
        <n v="126533.0"/>
        <n v="8578.0"/>
        <n v="32707.0"/>
        <n v="1558.0"/>
        <n v="50559.0"/>
        <n v="41916.0"/>
        <n v="198.0"/>
        <n v="694.0"/>
        <n v="963.0"/>
        <n v="11735.0"/>
        <n v="5186.0"/>
        <n v="215.0"/>
        <n v="294.0"/>
        <n v="44352.0"/>
        <n v="2310.0"/>
        <n v="4602.0"/>
        <n v="74752.0"/>
        <n v="4436.0"/>
        <n v="15359.0"/>
        <n v="1879.0"/>
        <n v="30761.0"/>
        <n v="26625.0"/>
        <n v="177.0"/>
        <n v="466.0"/>
        <n v="638.0"/>
        <n v="6993.0"/>
        <n v="3328.0"/>
        <n v="16114.0"/>
        <n v="395.0"/>
        <n v="244.0"/>
        <n v="22620.0"/>
        <n v="2272.0"/>
        <n v="2800.0"/>
        <n v="53866.0"/>
        <n v="4584.0"/>
        <n v="12235.0"/>
        <n v="906.0"/>
        <n v="44.0"/>
        <n v="11448.0"/>
        <n v="10437.0"/>
        <n v="151.0"/>
        <n v="196.0"/>
        <n v="3083.0"/>
        <n v="1984.0"/>
        <n v="5195.0"/>
        <n v="102.0"/>
        <n v="54.0"/>
        <n v="10025.0"/>
        <n v="773.0"/>
        <n v="979.0"/>
        <n v="19701.0"/>
        <n v="1074.0"/>
        <n v="4903.0"/>
        <n v="658.0"/>
        <n v="43900.0"/>
        <n v="31438.0"/>
        <n v="253.0"/>
        <n v="623.0"/>
        <n v="520.0"/>
        <n v="9213.0"/>
        <n v="7875.0"/>
        <n v="18128.0"/>
        <n v="261.0"/>
        <n v="35154.0"/>
        <n v="2819.0"/>
        <n v="67561.0"/>
        <n v="3982.0"/>
        <n v="19676.0"/>
        <n v="1751.0"/>
        <n v="331.0"/>
        <n v="38288.0"/>
        <n v="38651.0"/>
        <n v="530.0"/>
        <n v="1148.0"/>
        <n v="13809.0"/>
        <n v="10367.0"/>
        <n v="19069.0"/>
        <n v="439.0"/>
        <n v="212.0"/>
        <n v="26738.0"/>
        <n v="3750.0"/>
        <n v="3285.0"/>
        <n v="60865.0"/>
        <n v="1344.0"/>
        <n v="13331.0"/>
        <n v="1090.0"/>
        <n v="12827.0"/>
        <n v="14652.0"/>
        <n v="250.0"/>
        <n v="405.0"/>
        <n v="3769.0"/>
        <n v="3276.0"/>
        <n v="6731.0"/>
        <n v="13478.0"/>
        <n v="1208.0"/>
        <n v="25564.0"/>
        <n v="6313.0"/>
        <n v="749.0"/>
        <n v="34389.0"/>
        <n v="34896.0"/>
        <n v="650.0"/>
        <n v="1108.0"/>
        <n v="12532.0"/>
        <n v="7994.0"/>
        <n v="15781.0"/>
        <n v="211.0"/>
        <n v="33970.0"/>
        <n v="1578.0"/>
        <n v="2719.0"/>
        <n v="41.0"/>
        <n v="58606.0"/>
        <n v="3323.0"/>
        <n v="67.0"/>
        <n v="16824.0"/>
        <n v="2027.0"/>
        <n v="22704.0"/>
        <n v="19814.0"/>
        <n v="304.0"/>
        <n v="431.0"/>
        <n v="6811.0"/>
        <n v="5056.0"/>
        <n v="9202.0"/>
        <n v="236.0"/>
        <n v="149.0"/>
        <n v="17897.0"/>
        <n v="1322.0"/>
        <n v="1546.0"/>
        <n v="31774.0"/>
        <n v="1525.0"/>
        <n v="10340.0"/>
        <n v="357.0"/>
        <n v="19700.0"/>
        <n v="15333.0"/>
        <n v="291.0"/>
        <n v="307.0"/>
        <n v="5191.0"/>
        <n v="3008.0"/>
        <n v="6916.0"/>
        <n v="47.0"/>
        <n v="18077.0"/>
        <n v="1198.0"/>
        <n v="1453.0"/>
        <n v="30947.0"/>
        <n v="845.0"/>
        <n v="6693.0"/>
        <n v="388.0"/>
        <n v="18888.0"/>
        <n v="15970.0"/>
        <n v="181.0"/>
        <n v="346.0"/>
        <n v="4621.0"/>
        <n v="2048.0"/>
        <n v="6703.0"/>
        <n v="160.0"/>
        <n v="94.0"/>
        <n v="11802.0"/>
        <n v="1516.0"/>
        <n v="23574.0"/>
        <n v="1517.0"/>
        <n v="7917.0"/>
        <n v="338.0"/>
        <n v="34906.0"/>
        <n v="27894.0"/>
        <n v="408.0"/>
        <n v="634.0"/>
        <n v="8572.0"/>
        <n v="2603.0"/>
        <n v="14202.0"/>
        <n v="481.0"/>
        <n v="343.0"/>
        <n v="26798.0"/>
        <n v="1498.0"/>
        <n v="1828.0"/>
        <n v="44211.0"/>
        <n v="1887.0"/>
        <n v="13548.0"/>
        <n v="22028.0"/>
        <n v="16018.0"/>
        <n v="264.0"/>
        <n v="407.0"/>
        <n v="5149.0"/>
        <n v="2672.0"/>
        <n v="7726.0"/>
        <n v="13842.0"/>
        <n v="330.0"/>
        <n v="1612.0"/>
        <n v="25904.0"/>
        <n v="2316.0"/>
        <n v="8361.0"/>
        <n v="230.0"/>
        <n v="17637.0"/>
        <n v="14393.0"/>
        <n v="77.0"/>
        <n v="290.0"/>
        <n v="341.0"/>
        <n v="5926.0"/>
        <n v="2650.0"/>
        <n v="7174.0"/>
        <n v="86.0"/>
        <n v="15475.0"/>
        <n v="899.0"/>
        <n v="1261.0"/>
        <n v="24175.0"/>
        <n v="577.0"/>
        <n v="6569.0"/>
        <n v="15756.0"/>
        <n v="13293.0"/>
        <n v="168.0"/>
        <n v="199.0"/>
        <n v="3371.0"/>
        <n v="1509.0"/>
        <n v="6736.0"/>
        <n v="10228.0"/>
        <n v="464.0"/>
        <n v="1028.0"/>
        <n v="16165.0"/>
        <n v="589.0"/>
        <n v="4699.0"/>
      </sharedItems>
    </cacheField>
    <cacheField name="ACTUAL_COST" numFmtId="0">
      <sharedItems containsSemiMixedTypes="0" containsString="0" containsNumber="1">
        <n v="193.90205"/>
        <n v="19015.39897"/>
        <n v="11038.82285"/>
        <n v="1659.24454"/>
        <n v="3388.1885"/>
        <n v="3033.30354"/>
        <n v="1906.824"/>
        <n v="10160.86455"/>
        <n v="4450.22859"/>
        <n v="13826.77827"/>
        <n v="437.63013"/>
        <n v="163.96771"/>
        <n v="2891.74758"/>
        <n v="490.16922"/>
        <n v="11071.3234"/>
        <n v="106.28188"/>
        <n v="3639.7335"/>
        <n v="2286.51917"/>
        <n v="360.2248"/>
        <n v="294.77172"/>
        <n v="46597.41574"/>
        <n v="2910.0124"/>
        <n v="8150.99125"/>
        <n v="276.83341"/>
        <n v="61021.89536"/>
        <n v="8474.10762"/>
        <n v="208.59817"/>
        <n v="25310.57696"/>
        <n v="14051.3918"/>
        <n v="1172.47823"/>
        <n v="3883.38542"/>
        <n v="5244.56065"/>
        <n v="2977.8404"/>
        <n v="11669.6453"/>
        <n v="3953.5484"/>
        <n v="16804.78746"/>
        <n v="561.8121"/>
        <n v="365.8225"/>
        <n v="3329.96155"/>
        <n v="78.06406"/>
        <n v="14914.11495"/>
        <n v="259.55405"/>
        <n v="6284.84262"/>
        <n v="3437.98353"/>
        <n v="1777.30698"/>
        <n v="321.9075"/>
        <n v="64540.72318"/>
        <n v="485.0124"/>
        <n v="2706.58346"/>
        <n v="4450.24421"/>
        <n v="76401.60359"/>
        <n v="7291.97012"/>
        <n v="1003.11123"/>
        <n v="28292.17318"/>
        <n v="21416.37156"/>
        <n v="1985.77191"/>
        <n v="4866.64482"/>
        <n v="4963.0363"/>
        <n v="3995.562"/>
        <n v="18861.92993"/>
        <n v="7826.606"/>
        <n v="25924.55426"/>
        <n v="1038.78997"/>
        <n v="691.41373"/>
        <n v="6617.4664"/>
        <n v="5947.71499"/>
        <n v="19743.48218"/>
        <n v="300.73167"/>
        <n v="9020.87761"/>
        <n v="5788.64005"/>
        <n v="1239.224"/>
        <n v="803.83603"/>
        <n v="97885.08487"/>
        <n v="6790.0744"/>
        <n v="11880.60745"/>
        <n v="6396.71657"/>
        <n v="98995.20406"/>
        <n v="11128.6214"/>
        <n v="461.96576"/>
        <n v="30928.79795"/>
        <n v="19457.17516"/>
        <n v="1391.46176"/>
        <n v="6019.19898"/>
        <n v="6552.11434"/>
        <n v="3038.80096"/>
        <n v="24591.66612"/>
        <n v="6604.54887"/>
        <n v="26213.71743"/>
        <n v="451.9648"/>
        <n v="310.36067"/>
        <n v="3339.8744"/>
        <n v="3345.53277"/>
        <n v="28.3248"/>
        <n v="19294.71883"/>
        <n v="77.94264"/>
        <n v="8962.34473"/>
        <n v="5526.52648"/>
        <n v="706.0744"/>
        <n v="274.67209"/>
        <n v="91068.18692"/>
        <n v="6305.0372"/>
        <n v="1849.01529"/>
        <n v="7040.5156"/>
        <n v="78580.14806"/>
        <n v="15298.41698"/>
        <n v="220.60888"/>
        <n v="31930.31138"/>
        <n v="21774.77389"/>
        <n v="1665.27849"/>
        <n v="7095.92868"/>
        <n v="8870.67269"/>
        <n v="6381.11066"/>
        <n v="20644.2281"/>
        <n v="11278.99495"/>
        <n v="26836.31144"/>
        <n v="589.45611"/>
        <n v="651.06537"/>
        <n v="2813.17954"/>
        <n v="5148.99034"/>
        <n v="240.75055"/>
        <n v="23466.96253"/>
        <n v="353.91292"/>
        <n v="6664.8773"/>
        <n v="5143.86457"/>
        <n v="629.062"/>
        <n v="748.40077"/>
        <n v="63210.87077"/>
        <n v="2640.42254"/>
        <n v="1866.88799"/>
        <n v="9432.44532"/>
        <n v="114774.8267"/>
        <n v="29953.56875"/>
        <n v="380.36398"/>
        <n v="30780.49955"/>
        <n v="18553.53959"/>
        <n v="1718.42057"/>
        <n v="5653.30807"/>
        <n v="4896.01441"/>
        <n v="3460.34256"/>
        <n v="27164.47741"/>
        <n v="5169.11191"/>
        <n v="21333.16399"/>
        <n v="638.41944"/>
        <n v="576.74364"/>
        <n v="575.4324"/>
        <n v="3932.19843"/>
        <n v="262.18803"/>
        <n v="22947.20836"/>
        <n v="323.13348"/>
        <n v="6816.09701"/>
        <n v="5526.81384"/>
        <n v="1113.05867"/>
        <n v="847.71284"/>
        <n v="71484.54407"/>
        <n v="5577.662"/>
        <n v="2939.9417"/>
        <n v="5416.72609"/>
        <n v="109195.6688"/>
        <n v="23170.63296"/>
        <n v="1167.27647"/>
        <n v="21294.55219"/>
        <n v="12974.23512"/>
        <n v="1149.82399"/>
        <n v="4991.63936"/>
        <n v="4597.33993"/>
        <n v="3536.9404"/>
        <n v="14209.35241"/>
        <n v="10558.21906"/>
        <n v="20577.36338"/>
        <n v="1668.92145"/>
        <n v="353.32283"/>
        <n v="4382.4316"/>
        <n v="242.14703"/>
        <n v="25392.62686"/>
        <n v="204.14865"/>
        <n v="7157.36888"/>
        <n v="4424.42568"/>
        <n v="1345.2488"/>
        <n v="400.35359"/>
        <n v="73455.03497"/>
        <n v="12126.848"/>
        <n v="11302.92003"/>
        <n v="7183.424"/>
        <n v="64636.52936"/>
        <n v="14737.32486"/>
        <n v="1043.8672"/>
        <n v="25324.73402"/>
        <n v="16696.1898"/>
        <n v="1265.82676"/>
        <n v="6345.66093"/>
        <n v="6090.5908"/>
        <n v="7373.6808"/>
        <n v="22860.64192"/>
        <n v="9542.52909"/>
        <n v="19412.20198"/>
        <n v="1206.41145"/>
        <n v="347.96633"/>
        <n v="1726.2724"/>
        <n v="4205.3276"/>
        <n v="99.92332"/>
        <n v="24097.3277"/>
        <n v="250.08608"/>
        <n v="5909.59642"/>
        <n v="4692.01844"/>
        <n v="1375.96561"/>
        <n v="398.94643"/>
        <n v="80877.19065"/>
        <n v="3880.0496"/>
        <n v="5921.81915"/>
        <n v="18030.1284"/>
        <n v="76078.00852"/>
        <n v="14326.16519"/>
        <n v="2089.36738"/>
        <n v="21685.79459"/>
        <n v="13316.42533"/>
        <n v="945.41423"/>
        <n v="5206.00666"/>
        <n v="3926.43561"/>
        <n v="3459.1036"/>
        <n v="18124.801"/>
        <n v="10396.15311"/>
        <n v="18953.33144"/>
        <n v="1522.69733"/>
        <n v="462.87256"/>
        <n v="3252.8692"/>
        <n v="6051.2032"/>
        <n v="434.91402"/>
        <n v="26946.99386"/>
        <n v="402.93686"/>
        <n v="8405.93005"/>
        <n v="5181.52283"/>
        <n v="1591.724"/>
        <n v="617.79842"/>
        <n v="77688.10866"/>
        <n v="16975.0992"/>
        <n v="4093.7764"/>
        <n v="10582.4468"/>
        <n v="69049.33465"/>
        <n v="22282.39486"/>
        <n v="1314.35529"/>
        <n v="23321.96659"/>
        <n v="16561.11051"/>
        <n v="1115.41995"/>
        <n v="5456.04671"/>
        <n v="4470.5379"/>
        <n v="3804.2308"/>
        <n v="17191.0494"/>
        <n v="11475.94909"/>
        <n v="21650.73775"/>
        <n v="995.29556"/>
        <n v="518.28277"/>
        <n v="1151.7716"/>
        <n v="4262.898"/>
        <n v="361.2724"/>
        <n v="21143.56728"/>
        <n v="310.52878"/>
        <n v="7458.91898"/>
        <n v="4774.61308"/>
        <n v="1233.962"/>
        <n v="268.07336"/>
        <n v="80338.24807"/>
        <n v="2142.53175"/>
        <n v="11874.0512"/>
        <n v="64439.7232"/>
        <n v="26929.02857"/>
        <n v="1105.58466"/>
        <n v="17965.70755"/>
        <n v="13719.71255"/>
        <n v="853.02149"/>
        <n v="4319.69534"/>
        <n v="4446.11583"/>
        <n v="3629.7536"/>
        <n v="10543.13824"/>
        <n v="8187.20074"/>
        <n v="17555.12781"/>
        <n v="813.87566"/>
        <n v="279.77072"/>
        <n v="3673.1916"/>
        <n v="237.8683"/>
        <n v="18018.99735"/>
        <n v="248.54779"/>
        <n v="3640.60567"/>
        <n v="3349.7767"/>
        <n v="1478.9116"/>
        <n v="554.91972"/>
        <n v="65562.96869"/>
        <n v="24250.5488"/>
        <n v="1949.45035"/>
        <n v="11184.8552"/>
        <n v="59987.89141"/>
        <n v="21098.7692"/>
        <n v="397.10553"/>
        <n v="24433.57724"/>
        <n v="14954.11199"/>
        <n v="1544.63211"/>
        <n v="4311.02978"/>
        <n v="5970.95465"/>
        <n v="894.8244"/>
        <n v="23769.59748"/>
        <n v="5856.41313"/>
        <n v="20906.99558"/>
        <n v="890.88769"/>
        <n v="230.04102"/>
        <n v="1150.8772"/>
        <n v="3663.7744"/>
        <n v="26880.69513"/>
        <n v="308.04344"/>
        <n v="3428.26195"/>
        <n v="4855.40715"/>
        <n v="134.5124"/>
        <n v="266.96027"/>
        <n v="83404.50177"/>
        <n v="4850.0372"/>
        <n v="2152.27969"/>
        <n v="1558.644"/>
        <n v="92238.08799"/>
        <n v="7580.93308"/>
        <n v="219.89121"/>
        <n v="27023.43608"/>
        <n v="16873.48096"/>
        <n v="1939.8129"/>
        <n v="5347.62641"/>
        <n v="6421.74456"/>
        <n v="2386.56"/>
        <n v="19921.28099"/>
        <n v="5609.38255"/>
        <n v="20727.6954"/>
        <n v="834.53267"/>
        <n v="294.6164"/>
        <n v="3216.2916"/>
        <n v="23279.12376"/>
        <n v="117.46561"/>
        <n v="5384.14107"/>
        <n v="5440.07983"/>
        <n v="710.762"/>
        <n v="441.00996"/>
        <n v="80524.4368"/>
        <n v="6790.062"/>
        <n v="1300.02384"/>
        <n v="1747.0592"/>
        <n v="86315.81772"/>
        <n v="12821.76425"/>
        <n v="1295.53661"/>
        <n v="21346.13778"/>
        <n v="11962.23993"/>
        <n v="1290.76015"/>
        <n v="3345.80617"/>
        <n v="5750.22134"/>
        <n v="775.1868"/>
        <n v="15119.49701"/>
        <n v="6608.85533"/>
        <n v="17295.69204"/>
        <n v="485.52268"/>
        <n v="192.25779"/>
        <n v="3168.64093"/>
        <n v="168.5524"/>
        <n v="16977.15514"/>
        <n v="134.82406"/>
        <n v="4634.55653"/>
        <n v="2811.83952"/>
        <n v="290.15371"/>
        <n v="296.0403"/>
        <n v="66665.79244"/>
        <n v="7275.062"/>
        <n v="2258.69053"/>
        <n v="3260.46287"/>
        <n v="68553.91847"/>
        <n v="42607.16556"/>
        <n v="40.72813"/>
        <n v="33516.69617"/>
        <n v="16511.79672"/>
        <n v="1668.45661"/>
        <n v="7218.77443"/>
        <n v="5169.77653"/>
        <n v="2668.49213"/>
        <n v="25922.36551"/>
        <n v="1538.49135"/>
        <n v="23532.82133"/>
        <n v="814.54166"/>
        <n v="1675.60742"/>
        <n v="14546.82211"/>
        <n v="21546.70054"/>
        <n v="712.7615"/>
        <n v="4956.74108"/>
        <n v="4079.39192"/>
        <n v="1833.80476"/>
        <n v="456.97796"/>
        <n v="66283.08264"/>
        <n v="1455.0124"/>
        <n v="7772.05221"/>
        <n v="5335.5764"/>
        <n v="62378.10383"/>
        <n v="4456.30674"/>
        <n v="163.34973"/>
        <n v="21866.78017"/>
        <n v="11068.87743"/>
        <n v="1212.4604"/>
        <n v="2944.03873"/>
        <n v="4170.63515"/>
        <n v="2224.5424"/>
        <n v="16868.21052"/>
        <n v="4992.72607"/>
        <n v="13535.94014"/>
        <n v="340.70988"/>
        <n v="358.36106"/>
        <n v="431.6824"/>
        <n v="2846.08617"/>
        <n v="15444.96258"/>
        <n v="42.65583"/>
        <n v="2246.11152"/>
        <n v="3526.43296"/>
        <n v="100.9124"/>
        <n v="250.66872"/>
        <n v="49945.32813"/>
        <n v="6076.07605"/>
        <n v="758.18273"/>
        <n v="2719.41613"/>
        <n v="68967.4643"/>
        <n v="5324.41573"/>
        <n v="933.10908"/>
        <n v="25505.5567"/>
        <n v="14611.74418"/>
        <n v="1049.98322"/>
        <n v="3652.88979"/>
        <n v="5968.76947"/>
        <n v="3271.022"/>
        <n v="23188.00254"/>
        <n v="3115.43287"/>
        <n v="18979.41704"/>
        <n v="873.52542"/>
        <n v="348.64757"/>
        <n v="719.732"/>
        <n v="6665.86806"/>
        <n v="112.3724"/>
        <n v="21816.9766"/>
        <n v="375.0867"/>
        <n v="9805.721"/>
        <n v="4514.29263"/>
        <n v="1234.724"/>
        <n v="586.65219"/>
        <n v="88490.54524"/>
        <n v="3259.42775"/>
        <n v="2197.7316"/>
        <n v="75968.22709"/>
        <n v="16882.24885"/>
        <n v="355.3346"/>
        <n v="25863.31651"/>
        <n v="14526.58714"/>
        <n v="1014.29775"/>
        <n v="3414.00565"/>
        <n v="6163.09098"/>
        <n v="6531.46216"/>
        <n v="23256.46012"/>
        <n v="8835.39008"/>
        <n v="20792.05676"/>
        <n v="215.32958"/>
        <n v="399.24227"/>
        <n v="5642.55287"/>
        <n v="15256.9889"/>
        <n v="231.08467"/>
        <n v="4474.76606"/>
        <n v="2613.88144"/>
        <n v="389.0372"/>
        <n v="533.7815"/>
        <n v="60427.46766"/>
        <n v="5230.142"/>
        <n v="4972.72395"/>
        <n v="6122.78198"/>
        <n v="74732.19607"/>
        <n v="7005.68449"/>
        <n v="193.46485"/>
        <n v="18865.86404"/>
        <n v="10596.58094"/>
        <n v="820.27243"/>
        <n v="2721.16772"/>
        <n v="2416.77829"/>
        <n v="524.0368"/>
        <n v="13754.24351"/>
        <n v="4874.96953"/>
        <n v="15441.81956"/>
        <n v="318.77609"/>
        <n v="1095.80809"/>
        <n v="3598.18221"/>
        <n v="56.1924"/>
        <n v="12516.68497"/>
        <n v="106.62191"/>
        <n v="2547.31582"/>
        <n v="2698.59987"/>
        <n v="583.2789"/>
        <n v="341.16209"/>
        <n v="51748.07879"/>
        <n v="2425.4496"/>
        <n v="3579.22282"/>
        <n v="3986.51769"/>
        <n v="49782.1892"/>
        <n v="16329.35249"/>
        <n v="985.12758"/>
        <n v="35836.21081"/>
        <n v="17376.90847"/>
        <n v="1197.14173"/>
        <n v="6039.79611"/>
        <n v="6934.67811"/>
        <n v="3422.04"/>
        <n v="27568.83331"/>
        <n v="5185.67376"/>
        <n v="20488.4106"/>
        <n v="470.38958"/>
        <n v="2009.9489"/>
        <n v="3308.8196"/>
        <n v="10699.23618"/>
        <n v="32.91844"/>
        <n v="20437.51132"/>
        <n v="203.09919"/>
        <n v="10729.22779"/>
        <n v="2996.91407"/>
        <n v="1431.6488"/>
        <n v="416.82988"/>
        <n v="66339.28077"/>
        <n v="7760.0372"/>
        <n v="8056.47747"/>
        <n v="3005.9812"/>
        <n v="74216.74946"/>
        <n v="8528.84501"/>
        <n v="81.45627"/>
        <n v="14375.31565"/>
        <n v="7734.57985"/>
        <n v="879.48176"/>
        <n v="2722.80514"/>
        <n v="1929.71172"/>
        <n v="2607.614"/>
        <n v="9707.27821"/>
        <n v="2971.83445"/>
        <n v="11737.57764"/>
        <n v="316.34623"/>
        <n v="231.36339"/>
        <n v="3875.75223"/>
        <n v="10590.93856"/>
        <n v="26.96372"/>
        <n v="2035.02914"/>
        <n v="2086.8263"/>
        <n v="72.1124"/>
        <n v="199.26295"/>
        <n v="30739.40608"/>
        <n v="970.0124"/>
        <n v="1132.2762"/>
        <n v="3265.62584"/>
        <n v="38027.9991"/>
        <n v="9286.87475"/>
        <n v="498.85465"/>
        <n v="29438.37783"/>
        <n v="18319.0586"/>
        <n v="1995.93136"/>
        <n v="3429.28086"/>
        <n v="6550.96223"/>
        <n v="3738.73404"/>
        <n v="23105.54014"/>
        <n v="8376.43835"/>
        <n v="23848.85252"/>
        <n v="342.87686"/>
        <n v="296.10663"/>
        <n v="1150.8648"/>
        <n v="4341.52752"/>
        <n v="134.25646"/>
        <n v="24649.00832"/>
        <n v="105.23777"/>
        <n v="6013.12553"/>
        <n v="6156.1402"/>
        <n v="473.30777"/>
        <n v="77720.56718"/>
        <n v="6790.2744"/>
        <n v="2821.61411"/>
        <n v="1604.39078"/>
        <n v="103018.9273"/>
        <n v="8574.97952"/>
        <n v="245.593"/>
        <n v="53049.78626"/>
        <n v="25555.70462"/>
        <n v="2691.79103"/>
        <n v="5538.02437"/>
        <n v="8204.47126"/>
        <n v="5304.69031"/>
        <n v="34618.32432"/>
        <n v="8387.26573"/>
        <n v="34101.18901"/>
        <n v="431.96672"/>
        <n v="1248.52012"/>
        <n v="6969.40446"/>
        <n v="359.60951"/>
        <n v="31420.20933"/>
        <n v="388.92545"/>
        <n v="9201.04184"/>
        <n v="6023.90678"/>
        <n v="1254.98347"/>
        <n v="887.62015"/>
        <n v="123286.1436"/>
        <n v="1940.0124"/>
        <n v="9571.39746"/>
        <n v="6540.44363"/>
        <n v="101366.3026"/>
        <n v="13715.2201"/>
        <n v="3016.70271"/>
        <n v="92508.17613"/>
        <n v="45855.11072"/>
        <n v="3687.02061"/>
        <n v="16748.10605"/>
        <n v="12942.57681"/>
        <n v="6883.09271"/>
        <n v="115555.4089"/>
        <n v="15411.82083"/>
        <n v="86719.36781"/>
        <n v="1626.82317"/>
        <n v="1682.22516"/>
        <n v="27311.19128"/>
        <n v="87.47424"/>
        <n v="84205.96474"/>
        <n v="739.28126"/>
        <n v="15639.38166"/>
        <n v="11580.08881"/>
        <n v="2800.66516"/>
        <n v="2666.86022"/>
        <n v="212998.0397"/>
        <n v="16976.4356"/>
        <n v="32143.60355"/>
        <n v="12136.0536"/>
        <n v="218417.1961"/>
        <n v="63848.61508"/>
        <n v="157.0043"/>
        <n v="50645.89552"/>
        <n v="20946.94653"/>
        <n v="1461.53577"/>
        <n v="6433.76387"/>
        <n v="5628.49806"/>
        <n v="8187.6536"/>
        <n v="43230.55056"/>
        <n v="6751.84707"/>
        <n v="36270.35788"/>
        <n v="1358.7525"/>
        <n v="725.46733"/>
        <n v="12468.68733"/>
        <n v="34095.41949"/>
        <n v="547.16063"/>
        <n v="8663.05826"/>
        <n v="6974.47946"/>
        <n v="202.0496"/>
        <n v="833.38979"/>
        <n v="89989.84759"/>
        <n v="14153.026"/>
        <n v="4764.9104"/>
        <n v="62865.53064"/>
        <n v="5423.30956"/>
        <n v="723.43865"/>
        <n v="66764.08726"/>
        <n v="31787.34854"/>
        <n v="2784.94395"/>
        <n v="10509.3746"/>
        <n v="10473.12943"/>
        <n v="19683.266"/>
        <n v="45637.95308"/>
        <n v="9917.96094"/>
        <n v="51200.63188"/>
        <n v="1694.6189"/>
        <n v="1257.5099"/>
        <n v="575.6548"/>
        <n v="9326.99235"/>
        <n v="49051.70084"/>
        <n v="467.90594"/>
        <n v="11892.88054"/>
        <n v="7961.68784"/>
        <n v="1400.0364"/>
        <n v="1546.09082"/>
        <n v="171575.0245"/>
        <n v="19504.154"/>
        <n v="18560.30483"/>
        <n v="13311.5728"/>
        <n v="142193.1385"/>
        <n v="19719.98372"/>
        <n v="495.99201"/>
        <n v="61964.21036"/>
        <n v="36515.99048"/>
        <n v="3086.92868"/>
        <n v="16435.42698"/>
        <n v="16976.0792"/>
        <n v="5534.3352"/>
        <n v="76086.98784"/>
        <n v="16956.76401"/>
        <n v="65035.1865"/>
        <n v="1549.51076"/>
        <n v="645.45676"/>
        <n v="10118.9616"/>
        <n v="312.23144"/>
        <n v="74072.59302"/>
        <n v="536.79475"/>
        <n v="16175.73409"/>
        <n v="11336.10082"/>
        <n v="1788.7364"/>
        <n v="1217.07856"/>
        <n v="200745.4692"/>
        <n v="2979.452"/>
        <n v="14268.27033"/>
        <n v="6215.5268"/>
        <n v="256774.5737"/>
        <n v="41151.78184"/>
        <n v="1627.61722"/>
        <n v="71640.31086"/>
        <n v="36679.43375"/>
        <n v="2755.93437"/>
        <n v="13454.3101"/>
        <n v="12670.21842"/>
        <n v="6748.0488"/>
        <n v="75099.4674"/>
        <n v="17752.62667"/>
        <n v="56262.24785"/>
        <n v="1764.89115"/>
        <n v="2946.82529"/>
        <n v="9025.7888"/>
        <n v="224.7448"/>
        <n v="67639.8886"/>
        <n v="538.98952"/>
        <n v="24860.33602"/>
        <n v="11820.19856"/>
        <n v="1249.2488"/>
        <n v="1073.10151"/>
        <n v="186946.4963"/>
        <n v="8730.0868"/>
        <n v="29854.2831"/>
        <n v="8732.8692"/>
        <n v="215713.7076"/>
        <n v="32310.73517"/>
        <n v="198.40992"/>
        <n v="47936.58192"/>
        <n v="27559.90709"/>
        <n v="2323.66761"/>
        <n v="8289.20796"/>
        <n v="9967.15349"/>
        <n v="7488.83252"/>
        <n v="33222.22009"/>
        <n v="10253.67168"/>
        <n v="36827.54589"/>
        <n v="494.54477"/>
        <n v="490.17381"/>
        <n v="8455.70475"/>
        <n v="256.02664"/>
        <n v="41214.13881"/>
        <n v="235.53443"/>
        <n v="6134.20256"/>
        <n v="7533.14799"/>
        <n v="1129.2488"/>
        <n v="1217.6755"/>
        <n v="106035.7133"/>
        <n v="3287.17645"/>
        <n v="19746.46629"/>
        <n v="6290.15186"/>
        <n v="108428.2569"/>
        <n v="43048.68197"/>
        <n v="1138.03521"/>
        <n v="33526.39279"/>
        <n v="20467.68228"/>
        <n v="2392.23157"/>
        <n v="6943.26924"/>
        <n v="7264.2116"/>
        <n v="7597.8572"/>
        <n v="24810.23049"/>
        <n v="7629.44394"/>
        <n v="31312.16694"/>
        <n v="1320.09267"/>
        <n v="1075.22356"/>
        <n v="143.9724"/>
        <n v="6504.93932"/>
        <n v="121.79498"/>
        <n v="26306.9308"/>
        <n v="348.05713"/>
        <n v="8366.77509"/>
        <n v="5960.12316"/>
        <n v="2701.47767"/>
        <n v="579.05259"/>
        <n v="111710.8814"/>
        <n v="35890.2604"/>
        <n v="21626.5278"/>
        <n v="7067.2404"/>
        <n v="98155.01124"/>
        <n v="25393.54675"/>
        <n v="833.08796"/>
        <n v="11300.69349"/>
        <n v="8306.35869"/>
        <n v="764.41676"/>
        <n v="2005.25841"/>
        <n v="2645.04288"/>
        <n v="1626.79503"/>
        <n v="9620.48778"/>
        <n v="4804.12678"/>
        <n v="9870.7727"/>
        <n v="486.95574"/>
        <n v="233.46648"/>
        <n v="1536.3072"/>
        <n v="2046.2896"/>
        <n v="11177.90102"/>
        <n v="210.04449"/>
        <n v="2919.79389"/>
        <n v="2139.86685"/>
        <n v="1070.9868"/>
        <n v="173.7621"/>
        <n v="36158.42498"/>
        <n v="12610.0868"/>
        <n v="3069.48977"/>
        <n v="5077.0188"/>
        <n v="48899.05318"/>
        <n v="18583.61466"/>
        <n v="2593.25041"/>
        <n v="52033.36308"/>
        <n v="26221.73903"/>
        <n v="3096.84984"/>
        <n v="9306.88048"/>
        <n v="6788.87191"/>
        <n v="4627.52252"/>
        <n v="29381.37003"/>
        <n v="18079.39627"/>
        <n v="34237.42745"/>
        <n v="452.09582"/>
        <n v="1966.7379"/>
        <n v="1007.1148"/>
        <n v="7589.78087"/>
        <n v="40734.48388"/>
        <n v="731.03187"/>
        <n v="13477.28904"/>
        <n v="6637.72047"/>
        <n v="2502.3984"/>
        <n v="955.1383"/>
        <n v="139532.159"/>
        <n v="15815.8504"/>
        <n v="9640.6502"/>
        <n v="11048.32083"/>
        <n v="184809.7519"/>
        <n v="41712.23798"/>
        <n v="4829.28228"/>
        <n v="40542.28756"/>
        <n v="27585.05831"/>
        <n v="2856.2054"/>
        <n v="7123.02937"/>
        <n v="13115.62498"/>
        <n v="4716.68377"/>
        <n v="45894.02376"/>
        <n v="21179.08659"/>
        <n v="36439.9561"/>
        <n v="459.47246"/>
        <n v="1142.3695"/>
        <n v="513.8824"/>
        <n v="5930.70159"/>
        <n v="87.46184"/>
        <n v="27920.27983"/>
        <n v="182.49527"/>
        <n v="17937.44682"/>
        <n v="6348.17856"/>
        <n v="2893.4984"/>
        <n v="939.63852"/>
        <n v="112229.9547"/>
        <n v="5820.0744"/>
        <n v="3807.5291"/>
        <n v="22708.21328"/>
        <n v="87301.25689"/>
        <n v="28762.46463"/>
        <n v="2178.73353"/>
        <n v="14539.47331"/>
        <n v="12654.51529"/>
        <n v="1300.42127"/>
        <n v="4047.79904"/>
        <n v="4796.99805"/>
        <n v="1520.67804"/>
        <n v="12929.88182"/>
        <n v="8288.26489"/>
        <n v="14809.20299"/>
        <n v="484.35497"/>
        <n v="1227.41117"/>
        <n v="1713.90735"/>
        <n v="16021.73227"/>
        <n v="198.65723"/>
        <n v="2092.67763"/>
        <n v="3181.95696"/>
        <n v="1104.4868"/>
        <n v="151.50794"/>
        <n v="60260.72466"/>
        <n v="18699.91411"/>
        <n v="2409.46116"/>
        <n v="9051.54168"/>
        <n v="61752.56297"/>
        <n v="19559.17273"/>
        <n v="474.26692"/>
        <n v="40022.35397"/>
        <n v="26818.3611"/>
        <n v="2783.75244"/>
        <n v="9458.75944"/>
        <n v="12502.74098"/>
        <n v="6319.70806"/>
        <n v="44216.51508"/>
        <n v="17699.49814"/>
        <n v="32226.89288"/>
        <n v="909.56257"/>
        <n v="556.36395"/>
        <n v="1294.8372"/>
        <n v="4954.04203"/>
        <n v="281.3944"/>
        <n v="36066.93284"/>
        <n v="695.56796"/>
        <n v="6844.15776"/>
        <n v="6708.8296"/>
        <n v="1690.7488"/>
        <n v="618.71131"/>
        <n v="113415.2947"/>
        <n v="37466.7608"/>
        <n v="8854.05872"/>
        <n v="16146.86167"/>
        <n v="138364.1993"/>
        <n v="46394.50567"/>
        <n v="72.43529"/>
        <n v="23901.63079"/>
        <n v="14285.71664"/>
        <n v="1332.03743"/>
        <n v="3999.84156"/>
        <n v="4531.62981"/>
        <n v="4119.6908"/>
        <n v="17651.24185"/>
        <n v="10270.47699"/>
        <n v="14919.08181"/>
        <n v="499.05216"/>
        <n v="573.78713"/>
        <n v="288.5792"/>
        <n v="3528.78735"/>
        <n v="224.7324"/>
        <n v="17058.88769"/>
        <n v="280.87259"/>
        <n v="3303.96538"/>
        <n v="3269.20944"/>
        <n v="775.19488"/>
        <n v="747.30432"/>
        <n v="49759.42074"/>
        <n v="13572.37491"/>
        <n v="2757.65742"/>
        <n v="1158.05327"/>
        <n v="61585.27357"/>
        <n v="8809.61398"/>
        <n v="538.56561"/>
        <n v="23754.66458"/>
        <n v="13220.50055"/>
        <n v="913.40774"/>
        <n v="3871.69996"/>
        <n v="3833.16449"/>
        <n v="4670.44333"/>
        <n v="18351.18739"/>
        <n v="6834.19977"/>
        <n v="15652.10087"/>
        <n v="914.00101"/>
        <n v="148.22117"/>
        <n v="2205.74971"/>
        <n v="4261.23222"/>
        <n v="19668.08645"/>
        <n v="201.465"/>
        <n v="5242.74099"/>
        <n v="4299.77515"/>
        <n v="437.4744"/>
        <n v="377.50394"/>
        <n v="56727.93759"/>
        <n v="10670.0496"/>
        <n v="1719.98774"/>
        <n v="1768.8728"/>
        <n v="55667.86341"/>
        <n v="8941.43405"/>
        <n v="1012.31249"/>
        <n v="19016.46503"/>
        <n v="10446.86259"/>
        <n v="745.65659"/>
        <n v="2736.03826"/>
        <n v="3740.26291"/>
        <n v="3904.6948"/>
        <n v="12826.13685"/>
        <n v="4170.25757"/>
        <n v="9740.87717"/>
        <n v="254.5299"/>
        <n v="1300.88125"/>
        <n v="255.73386"/>
        <n v="2236.82292"/>
        <n v="12117.36371"/>
        <n v="323.23176"/>
        <n v="2839.28163"/>
        <n v="2703.56632"/>
        <n v="735.89612"/>
        <n v="293.02329"/>
        <n v="50084.81167"/>
        <n v="7921.51696"/>
        <n v="3037.25278"/>
        <n v="3206.78487"/>
        <n v="58823.63689"/>
        <n v="8448.30175"/>
        <n v="794.35567"/>
        <n v="38034.41517"/>
        <n v="20914.70113"/>
        <n v="1812.6154"/>
        <n v="5155.98279"/>
        <n v="6589.56852"/>
        <n v="4509.91337"/>
        <n v="26396.31561"/>
        <n v="5708.1739"/>
        <n v="24177.96658"/>
        <n v="734.42697"/>
        <n v="1346.62592"/>
        <n v="10487.45576"/>
        <n v="288.23904"/>
        <n v="27403.36925"/>
        <n v="262.97454"/>
        <n v="5771.57028"/>
        <n v="4033.87235"/>
        <n v="1571.79587"/>
        <n v="686.02985"/>
        <n v="69808.54819"/>
        <n v="3152.6372"/>
        <n v="5748.25893"/>
        <n v="8611.46237"/>
        <n v="106041.9579"/>
        <n v="9944.0283"/>
        <n v="235.72936"/>
        <n v="24280.2548"/>
        <n v="12108.23902"/>
        <n v="1410.29136"/>
        <n v="3902.9693"/>
        <n v="5178.65602"/>
        <n v="731.0988"/>
        <n v="15654.13776"/>
        <n v="5787.93986"/>
        <n v="12847.94922"/>
        <n v="256.26799"/>
        <n v="207.69556"/>
        <n v="1838.72937"/>
        <n v="3762.88648"/>
        <n v="14518.53043"/>
        <n v="155.81991"/>
        <n v="1823.73695"/>
        <n v="4077.94807"/>
        <n v="214.71107"/>
        <n v="42621.21568"/>
        <n v="10670.0744"/>
        <n v="7557.19547"/>
        <n v="2648.2668"/>
        <n v="74098.97529"/>
        <n v="5394.84031"/>
        <n v="276.00156"/>
        <n v="17276.81047"/>
        <n v="10144.25966"/>
        <n v="964.62081"/>
        <n v="3711.61826"/>
        <n v="3617.23"/>
        <n v="1025.0792"/>
        <n v="15479.55806"/>
        <n v="5467.24604"/>
        <n v="12579.11504"/>
        <n v="327.73106"/>
        <n v="197.02167"/>
        <n v="2861.19074"/>
        <n v="2516.104"/>
        <n v="288.22522"/>
        <n v="13533.60102"/>
        <n v="473.43419"/>
        <n v="2789.33524"/>
        <n v="2541.63203"/>
        <n v="1277.8364"/>
        <n v="426.77931"/>
        <n v="46056.58627"/>
        <n v="15982.46488"/>
        <n v="1223.4831"/>
        <n v="818.6116"/>
        <n v="41923.90531"/>
        <n v="3415.58484"/>
        <n v="124.88175"/>
        <n v="18540.78205"/>
        <n v="10218.90987"/>
        <n v="864.9943"/>
        <n v="2459.22601"/>
        <n v="2747.57761"/>
        <n v="2293.59492"/>
        <n v="11580.16674"/>
        <n v="3373.14993"/>
        <n v="12152.95809"/>
        <n v="125.26757"/>
        <n v="145.82828"/>
        <n v="255.72497"/>
        <n v="2890.11886"/>
        <n v="11274.47643"/>
        <n v="87.58084"/>
        <n v="1352.64794"/>
        <n v="2677.96902"/>
        <n v="720.0496"/>
        <n v="541.87508"/>
        <n v="28187.34794"/>
        <n v="3341.11923"/>
        <n v="2372.09871"/>
        <n v="1609.5944"/>
        <n v="39296.83302"/>
        <n v="4541.23839"/>
        <n v="20.36407"/>
        <n v="54.49828"/>
        <n v="32.06746"/>
        <n v="8.1224"/>
        <n v="70.96209"/>
        <n v="14.88103"/>
        <n v="62.65373"/>
        <n v="55.96794"/>
        <n v="6.93935"/>
        <n v="53.78294"/>
        <n v="248.79649"/>
        <n v="29.24209"/>
        <n v="188.4524"/>
        <n v="174.92921"/>
        <n v="50.47295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p 10 items pivot" cacheId="0" dataCaption="" rowGrandTotals="0" compact="0" compactData="0">
  <location ref="A1:B28" firstHeaderRow="0" firstDataRow="1" firstDataCol="0"/>
  <pivotFields>
    <pivotField name="YEAR_MONTH" compact="0" outline="0" multipleItemSelectionAllowed="1" showAll="0">
      <items>
        <item x="0"/>
        <item t="default"/>
      </items>
    </pivotField>
    <pivotField name="REGIONAL_OFFIC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CB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RU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</pivotFields>
  <rowFields>
    <field x="3"/>
  </rowFields>
  <dataFields>
    <dataField name="SUM of ITEMS" fld="4" baseField="0"/>
  </dataFields>
</pivotTableDefinition>
</file>

<file path=xl/pivotTables/pivotTable2.xml><?xml version="1.0" encoding="utf-8"?>
<pivotTableDefinition xmlns="http://schemas.openxmlformats.org/spreadsheetml/2006/main" name="Sertraline NE Pivot" cacheId="0" dataCaption="" rowGrandTotals="0" compact="0" compactData="0">
  <location ref="A4:B8" firstHeaderRow="0" firstDataRow="1" firstDataCol="0" rowPageCount="2" colPageCount="1"/>
  <pivotFields>
    <pivotField name="YEAR_MONTH" compact="0" outline="0" multipleItemSelectionAllowed="1" showAll="0">
      <items>
        <item x="0"/>
        <item t="default"/>
      </items>
    </pivotField>
    <pivotField name="REGIONAL_OFFICE_NAME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  <pivotField name="ICB_NAME" axis="axisRow" compact="0" outline="0" multipleItemSelectionAllowed="1" showAll="0" sortType="ascending">
      <items>
        <item x="35"/>
        <item x="0"/>
        <item x="11"/>
        <item x="12"/>
        <item x="36"/>
        <item x="29"/>
        <item x="1"/>
        <item x="26"/>
        <item x="37"/>
        <item x="13"/>
        <item x="14"/>
        <item x="38"/>
        <item x="39"/>
        <item x="30"/>
        <item x="40"/>
        <item x="27"/>
        <item x="31"/>
        <item x="15"/>
        <item x="2"/>
        <item x="22"/>
        <item x="32"/>
        <item x="28"/>
        <item x="16"/>
        <item x="17"/>
        <item x="3"/>
        <item x="4"/>
        <item x="6"/>
        <item x="23"/>
        <item x="7"/>
        <item x="8"/>
        <item x="18"/>
        <item x="19"/>
        <item x="20"/>
        <item x="41"/>
        <item x="9"/>
        <item x="10"/>
        <item x="24"/>
        <item x="21"/>
        <item x="5"/>
        <item x="33"/>
        <item x="34"/>
        <item x="25"/>
        <item x="42"/>
        <item t="default"/>
      </items>
    </pivotField>
    <pivotField name="DRUG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t="default"/>
      </items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</pivotFields>
  <rowFields>
    <field x="2"/>
  </rowFields>
  <pageFields>
    <pageField fld="1"/>
    <pageField fld="3"/>
  </pageFields>
  <dataFields>
    <dataField name="SUM of ACTUAL_COST" fld="5" baseField="0"/>
  </dataFields>
</pivotTableDefinition>
</file>

<file path=xl/pivotTables/pivotTable3.xml><?xml version="1.0" encoding="utf-8"?>
<pivotTableDefinition xmlns="http://schemas.openxmlformats.org/spreadsheetml/2006/main" name="Items by Drug Pivot" cacheId="1" dataCaption="" rowGrandTotals="0" compact="0" compactData="0">
  <location ref="A1:B28" firstHeaderRow="0" firstDataRow="1" firstDataCol="0"/>
  <pivotFields>
    <pivotField name="YEAR_MONTH" compact="0" outline="0" multipleItemSelectionAllowed="1" showAll="0">
      <items>
        <item x="0"/>
        <item t="default"/>
      </items>
    </pivotField>
    <pivotField name="REGIONAL_OFFIC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CB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RUG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3"/>
  </rowFields>
  <dataFields>
    <dataField name="SUM of ITEMS" fld="4" baseField="0"/>
  </dataFields>
</pivotTableDefinition>
</file>

<file path=xl/pivotTables/pivotTable4.xml><?xml version="1.0" encoding="utf-8"?>
<pivotTableDefinition xmlns="http://schemas.openxmlformats.org/spreadsheetml/2006/main" name="Cost by Drug Pivot" cacheId="1" dataCaption="" rowGrandTotals="0" compact="0" compactData="0">
  <location ref="A1:B28" firstHeaderRow="0" firstDataRow="1" firstDataCol="0"/>
  <pivotFields>
    <pivotField name="YEAR_MONTH" compact="0" outline="0" multipleItemSelectionAllowed="1" showAll="0">
      <items>
        <item x="0"/>
        <item t="default"/>
      </items>
    </pivotField>
    <pivotField name="REGIONAL_OFFIC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CB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RU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3"/>
  </rowFields>
  <dataFields>
    <dataField name="SUM of ACTUAL_COST" fld="5" baseField="0"/>
  </dataFields>
</pivotTableDefinition>
</file>

<file path=xl/pivotTables/pivotTable5.xml><?xml version="1.0" encoding="utf-8"?>
<pivotTableDefinition xmlns="http://schemas.openxmlformats.org/spreadsheetml/2006/main" name="Cost by Region Pivot" cacheId="1" dataCaption="" rowGrandTotals="0" compact="0" compactData="0">
  <location ref="A1:B9" firstHeaderRow="0" firstDataRow="1" firstDataCol="0"/>
  <pivotFields>
    <pivotField name="YEAR_MONTH" compact="0" outline="0" multipleItemSelectionAllowed="1" showAll="0">
      <items>
        <item x="0"/>
        <item t="default"/>
      </items>
    </pivotField>
    <pivotField name="REGIONAL_OFFICE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CB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R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1"/>
  </rowFields>
  <dataFields>
    <dataField name="SUM of ACTUAL_COST" fld="5" baseField="0"/>
  </dataFields>
</pivotTableDefinition>
</file>

<file path=xl/pivotTables/pivotTable6.xml><?xml version="1.0" encoding="utf-8"?>
<pivotTableDefinition xmlns="http://schemas.openxmlformats.org/spreadsheetml/2006/main" name="Items by Region Pivot" cacheId="1" dataCaption="" rowGrandTotals="0" compact="0" compactData="0">
  <location ref="A1:B9" firstHeaderRow="0" firstDataRow="1" firstDataCol="0"/>
  <pivotFields>
    <pivotField name="YEAR_MONTH" compact="0" outline="0" multipleItemSelectionAllowed="1" showAll="0">
      <items>
        <item x="0"/>
        <item t="default"/>
      </items>
    </pivotField>
    <pivotField name="REGIONAL_OFFICE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CB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R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ACTUAL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1"/>
  </rowFields>
  <dataFields>
    <dataField name="SUM of ITEM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5.0"/>
    <col customWidth="1" min="3" max="3" width="22.13"/>
    <col customWidth="1" min="4" max="4" width="42.75"/>
    <col customWidth="1" min="5" max="5" width="9.38"/>
    <col customWidth="1" min="6" max="6" width="31.38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6</v>
      </c>
      <c r="W1" s="1" t="s">
        <v>6</v>
      </c>
      <c r="X1" s="1" t="s">
        <v>6</v>
      </c>
      <c r="Y1" s="1" t="s">
        <v>6</v>
      </c>
      <c r="Z1" s="1" t="s">
        <v>6</v>
      </c>
    </row>
    <row r="2" ht="14.25" customHeight="1">
      <c r="A2" s="1">
        <v>202412.0</v>
      </c>
      <c r="B2" s="1" t="s">
        <v>7</v>
      </c>
      <c r="C2" s="1" t="s">
        <v>8</v>
      </c>
      <c r="D2" s="1" t="s">
        <v>9</v>
      </c>
      <c r="E2" s="1">
        <v>13.0</v>
      </c>
      <c r="F2" s="1">
        <v>193.90205</v>
      </c>
    </row>
    <row r="3" ht="14.25" customHeight="1">
      <c r="A3" s="1">
        <v>202412.0</v>
      </c>
      <c r="B3" s="1" t="s">
        <v>7</v>
      </c>
      <c r="C3" s="1" t="s">
        <v>8</v>
      </c>
      <c r="D3" s="1" t="s">
        <v>10</v>
      </c>
      <c r="E3" s="1">
        <v>18955.0</v>
      </c>
      <c r="F3" s="1">
        <v>19015.39897</v>
      </c>
    </row>
    <row r="4" ht="14.25" customHeight="1">
      <c r="A4" s="1">
        <v>202412.0</v>
      </c>
      <c r="B4" s="1" t="s">
        <v>7</v>
      </c>
      <c r="C4" s="1" t="s">
        <v>8</v>
      </c>
      <c r="D4" s="1" t="s">
        <v>11</v>
      </c>
      <c r="E4" s="1">
        <v>15618.0</v>
      </c>
      <c r="F4" s="1">
        <v>11038.82285</v>
      </c>
    </row>
    <row r="5" ht="14.25" customHeight="1">
      <c r="A5" s="1">
        <v>202412.0</v>
      </c>
      <c r="B5" s="1" t="s">
        <v>7</v>
      </c>
      <c r="C5" s="1" t="s">
        <v>8</v>
      </c>
      <c r="D5" s="1" t="s">
        <v>12</v>
      </c>
      <c r="E5" s="1">
        <v>109.0</v>
      </c>
      <c r="F5" s="1">
        <v>1659.24454</v>
      </c>
    </row>
    <row r="6" ht="14.25" customHeight="1">
      <c r="A6" s="1">
        <v>202412.0</v>
      </c>
      <c r="B6" s="1" t="s">
        <v>7</v>
      </c>
      <c r="C6" s="1" t="s">
        <v>8</v>
      </c>
      <c r="D6" s="1" t="s">
        <v>13</v>
      </c>
      <c r="E6" s="1">
        <v>278.0</v>
      </c>
      <c r="F6" s="1">
        <v>3388.1885</v>
      </c>
    </row>
    <row r="7" ht="14.25" customHeight="1">
      <c r="A7" s="1">
        <v>202412.0</v>
      </c>
      <c r="B7" s="1" t="s">
        <v>7</v>
      </c>
      <c r="C7" s="1" t="s">
        <v>8</v>
      </c>
      <c r="D7" s="1" t="s">
        <v>14</v>
      </c>
      <c r="E7" s="1">
        <v>318.0</v>
      </c>
      <c r="F7" s="1">
        <v>3033.30354</v>
      </c>
    </row>
    <row r="8" ht="14.25" customHeight="1">
      <c r="A8" s="1">
        <v>202412.0</v>
      </c>
      <c r="B8" s="1" t="s">
        <v>7</v>
      </c>
      <c r="C8" s="1" t="s">
        <v>8</v>
      </c>
      <c r="D8" s="1" t="s">
        <v>15</v>
      </c>
      <c r="E8" s="1">
        <v>10.0</v>
      </c>
      <c r="F8" s="1">
        <v>1906.824</v>
      </c>
    </row>
    <row r="9" ht="14.25" customHeight="1">
      <c r="A9" s="1">
        <v>202412.0</v>
      </c>
      <c r="B9" s="1" t="s">
        <v>7</v>
      </c>
      <c r="C9" s="1" t="s">
        <v>8</v>
      </c>
      <c r="D9" s="1" t="s">
        <v>16</v>
      </c>
      <c r="E9" s="1">
        <v>3598.0</v>
      </c>
      <c r="F9" s="1">
        <v>10160.86455</v>
      </c>
    </row>
    <row r="10" ht="14.25" customHeight="1">
      <c r="A10" s="1">
        <v>202412.0</v>
      </c>
      <c r="B10" s="1" t="s">
        <v>7</v>
      </c>
      <c r="C10" s="1" t="s">
        <v>8</v>
      </c>
      <c r="D10" s="1" t="s">
        <v>17</v>
      </c>
      <c r="E10" s="1">
        <v>2122.0</v>
      </c>
      <c r="F10" s="1">
        <v>4450.22859</v>
      </c>
    </row>
    <row r="11" ht="14.25" customHeight="1">
      <c r="A11" s="1">
        <v>202412.0</v>
      </c>
      <c r="B11" s="1" t="s">
        <v>7</v>
      </c>
      <c r="C11" s="1" t="s">
        <v>8</v>
      </c>
      <c r="D11" s="1" t="s">
        <v>18</v>
      </c>
      <c r="E11" s="1">
        <v>7980.0</v>
      </c>
      <c r="F11" s="1">
        <v>13826.77827</v>
      </c>
    </row>
    <row r="12" ht="14.25" customHeight="1">
      <c r="A12" s="1">
        <v>202412.0</v>
      </c>
      <c r="B12" s="1" t="s">
        <v>7</v>
      </c>
      <c r="C12" s="1" t="s">
        <v>8</v>
      </c>
      <c r="D12" s="1" t="s">
        <v>19</v>
      </c>
      <c r="E12" s="1">
        <v>27.0</v>
      </c>
      <c r="F12" s="1">
        <v>437.63013</v>
      </c>
    </row>
    <row r="13" ht="14.25" customHeight="1">
      <c r="A13" s="1">
        <v>202412.0</v>
      </c>
      <c r="B13" s="1" t="s">
        <v>7</v>
      </c>
      <c r="C13" s="1" t="s">
        <v>8</v>
      </c>
      <c r="D13" s="1" t="s">
        <v>20</v>
      </c>
      <c r="E13" s="1">
        <v>62.0</v>
      </c>
      <c r="F13" s="1">
        <v>163.96771</v>
      </c>
    </row>
    <row r="14" ht="14.25" customHeight="1">
      <c r="A14" s="1">
        <v>202412.0</v>
      </c>
      <c r="B14" s="1" t="s">
        <v>7</v>
      </c>
      <c r="C14" s="1" t="s">
        <v>8</v>
      </c>
      <c r="D14" s="1" t="s">
        <v>21</v>
      </c>
      <c r="E14" s="1">
        <v>124.0</v>
      </c>
      <c r="F14" s="1">
        <v>2891.74758</v>
      </c>
    </row>
    <row r="15" ht="14.25" customHeight="1">
      <c r="A15" s="1">
        <v>202412.0</v>
      </c>
      <c r="B15" s="1" t="s">
        <v>7</v>
      </c>
      <c r="C15" s="1" t="s">
        <v>8</v>
      </c>
      <c r="D15" s="1" t="s">
        <v>22</v>
      </c>
      <c r="E15" s="1">
        <v>6.0</v>
      </c>
      <c r="F15" s="1">
        <v>490.16922</v>
      </c>
    </row>
    <row r="16" ht="14.25" customHeight="1">
      <c r="A16" s="1">
        <v>202412.0</v>
      </c>
      <c r="B16" s="1" t="s">
        <v>7</v>
      </c>
      <c r="C16" s="1" t="s">
        <v>8</v>
      </c>
      <c r="D16" s="1" t="s">
        <v>23</v>
      </c>
      <c r="E16" s="1">
        <v>11350.0</v>
      </c>
      <c r="F16" s="1">
        <v>11071.3234</v>
      </c>
    </row>
    <row r="17" ht="14.25" customHeight="1">
      <c r="A17" s="1">
        <v>202412.0</v>
      </c>
      <c r="B17" s="1" t="s">
        <v>7</v>
      </c>
      <c r="C17" s="1" t="s">
        <v>8</v>
      </c>
      <c r="D17" s="1" t="s">
        <v>24</v>
      </c>
      <c r="E17" s="1">
        <v>8.0</v>
      </c>
      <c r="F17" s="1">
        <v>106.28188</v>
      </c>
    </row>
    <row r="18" ht="14.25" customHeight="1">
      <c r="A18" s="1">
        <v>202412.0</v>
      </c>
      <c r="B18" s="1" t="s">
        <v>7</v>
      </c>
      <c r="C18" s="1" t="s">
        <v>8</v>
      </c>
      <c r="D18" s="1" t="s">
        <v>25</v>
      </c>
      <c r="E18" s="1">
        <v>782.0</v>
      </c>
      <c r="F18" s="1">
        <v>3639.7335</v>
      </c>
    </row>
    <row r="19" ht="14.25" customHeight="1">
      <c r="A19" s="1">
        <v>202412.0</v>
      </c>
      <c r="B19" s="1" t="s">
        <v>7</v>
      </c>
      <c r="C19" s="1" t="s">
        <v>8</v>
      </c>
      <c r="D19" s="1" t="s">
        <v>26</v>
      </c>
      <c r="E19" s="1">
        <v>1329.0</v>
      </c>
      <c r="F19" s="1">
        <v>2286.51917</v>
      </c>
    </row>
    <row r="20" ht="14.25" customHeight="1">
      <c r="A20" s="1">
        <v>202412.0</v>
      </c>
      <c r="B20" s="1" t="s">
        <v>7</v>
      </c>
      <c r="C20" s="1" t="s">
        <v>8</v>
      </c>
      <c r="D20" s="1" t="s">
        <v>27</v>
      </c>
      <c r="E20" s="1">
        <v>2.0</v>
      </c>
      <c r="F20" s="1">
        <v>360.2248</v>
      </c>
    </row>
    <row r="21" ht="14.25" customHeight="1">
      <c r="A21" s="1">
        <v>202412.0</v>
      </c>
      <c r="B21" s="1" t="s">
        <v>7</v>
      </c>
      <c r="C21" s="1" t="s">
        <v>8</v>
      </c>
      <c r="D21" s="1" t="s">
        <v>28</v>
      </c>
      <c r="E21" s="1">
        <v>11.0</v>
      </c>
      <c r="F21" s="1">
        <v>294.77172</v>
      </c>
    </row>
    <row r="22" ht="14.25" customHeight="1">
      <c r="A22" s="1">
        <v>202412.0</v>
      </c>
      <c r="B22" s="1" t="s">
        <v>7</v>
      </c>
      <c r="C22" s="1" t="s">
        <v>8</v>
      </c>
      <c r="D22" s="1" t="s">
        <v>29</v>
      </c>
      <c r="E22" s="1">
        <v>27852.0</v>
      </c>
      <c r="F22" s="1">
        <v>46597.41574</v>
      </c>
    </row>
    <row r="23" ht="14.25" customHeight="1">
      <c r="A23" s="1">
        <v>202412.0</v>
      </c>
      <c r="B23" s="1" t="s">
        <v>7</v>
      </c>
      <c r="C23" s="1" t="s">
        <v>8</v>
      </c>
      <c r="D23" s="1" t="s">
        <v>30</v>
      </c>
      <c r="E23" s="1">
        <v>1.0</v>
      </c>
      <c r="F23" s="1">
        <v>2910.0124</v>
      </c>
    </row>
    <row r="24" ht="14.25" customHeight="1">
      <c r="A24" s="1">
        <v>202412.0</v>
      </c>
      <c r="B24" s="1" t="s">
        <v>7</v>
      </c>
      <c r="C24" s="1" t="s">
        <v>8</v>
      </c>
      <c r="D24" s="1" t="s">
        <v>31</v>
      </c>
      <c r="E24" s="1">
        <v>1496.0</v>
      </c>
      <c r="F24" s="1">
        <v>8150.99125</v>
      </c>
    </row>
    <row r="25" ht="14.25" customHeight="1">
      <c r="A25" s="1">
        <v>202412.0</v>
      </c>
      <c r="B25" s="1" t="s">
        <v>7</v>
      </c>
      <c r="C25" s="1" t="s">
        <v>8</v>
      </c>
      <c r="D25" s="1" t="s">
        <v>32</v>
      </c>
      <c r="E25" s="1">
        <v>2.0</v>
      </c>
      <c r="F25" s="1">
        <v>276.83341</v>
      </c>
    </row>
    <row r="26" ht="14.25" customHeight="1">
      <c r="A26" s="1">
        <v>202412.0</v>
      </c>
      <c r="B26" s="1" t="s">
        <v>7</v>
      </c>
      <c r="C26" s="1" t="s">
        <v>8</v>
      </c>
      <c r="D26" s="1" t="s">
        <v>33</v>
      </c>
      <c r="E26" s="1">
        <v>7933.0</v>
      </c>
      <c r="F26" s="1">
        <v>61021.89536</v>
      </c>
    </row>
    <row r="27" ht="14.25" customHeight="1">
      <c r="A27" s="1">
        <v>202412.0</v>
      </c>
      <c r="B27" s="1" t="s">
        <v>7</v>
      </c>
      <c r="C27" s="1" t="s">
        <v>8</v>
      </c>
      <c r="D27" s="1" t="s">
        <v>34</v>
      </c>
      <c r="E27" s="1">
        <v>316.0</v>
      </c>
      <c r="F27" s="1">
        <v>8474.10762</v>
      </c>
    </row>
    <row r="28" ht="14.25" customHeight="1">
      <c r="A28" s="1">
        <v>202412.0</v>
      </c>
      <c r="B28" s="1" t="s">
        <v>7</v>
      </c>
      <c r="C28" s="1" t="s">
        <v>35</v>
      </c>
      <c r="D28" s="1" t="s">
        <v>9</v>
      </c>
      <c r="E28" s="1">
        <v>15.0</v>
      </c>
      <c r="F28" s="1">
        <v>208.59817</v>
      </c>
    </row>
    <row r="29" ht="14.25" customHeight="1">
      <c r="A29" s="1">
        <v>202412.0</v>
      </c>
      <c r="B29" s="1" t="s">
        <v>7</v>
      </c>
      <c r="C29" s="1" t="s">
        <v>35</v>
      </c>
      <c r="D29" s="1" t="s">
        <v>10</v>
      </c>
      <c r="E29" s="1">
        <v>27415.0</v>
      </c>
      <c r="F29" s="1">
        <v>25310.57696</v>
      </c>
    </row>
    <row r="30" ht="14.25" customHeight="1">
      <c r="A30" s="1">
        <v>202412.0</v>
      </c>
      <c r="B30" s="1" t="s">
        <v>7</v>
      </c>
      <c r="C30" s="1" t="s">
        <v>35</v>
      </c>
      <c r="D30" s="1" t="s">
        <v>11</v>
      </c>
      <c r="E30" s="1">
        <v>22722.0</v>
      </c>
      <c r="F30" s="1">
        <v>14051.3918</v>
      </c>
    </row>
    <row r="31" ht="14.25" customHeight="1">
      <c r="A31" s="1">
        <v>202412.0</v>
      </c>
      <c r="B31" s="1" t="s">
        <v>7</v>
      </c>
      <c r="C31" s="1" t="s">
        <v>35</v>
      </c>
      <c r="D31" s="1" t="s">
        <v>12</v>
      </c>
      <c r="E31" s="1">
        <v>101.0</v>
      </c>
      <c r="F31" s="1">
        <v>1172.47823</v>
      </c>
    </row>
    <row r="32" ht="14.25" customHeight="1">
      <c r="A32" s="1">
        <v>202412.0</v>
      </c>
      <c r="B32" s="1" t="s">
        <v>7</v>
      </c>
      <c r="C32" s="1" t="s">
        <v>35</v>
      </c>
      <c r="D32" s="1" t="s">
        <v>13</v>
      </c>
      <c r="E32" s="1">
        <v>344.0</v>
      </c>
      <c r="F32" s="1">
        <v>3883.38542</v>
      </c>
    </row>
    <row r="33" ht="14.25" customHeight="1">
      <c r="A33" s="1">
        <v>202412.0</v>
      </c>
      <c r="B33" s="1" t="s">
        <v>7</v>
      </c>
      <c r="C33" s="1" t="s">
        <v>35</v>
      </c>
      <c r="D33" s="1" t="s">
        <v>14</v>
      </c>
      <c r="E33" s="1">
        <v>541.0</v>
      </c>
      <c r="F33" s="1">
        <v>5244.56065</v>
      </c>
    </row>
    <row r="34" ht="14.25" customHeight="1">
      <c r="A34" s="1">
        <v>202412.0</v>
      </c>
      <c r="B34" s="1" t="s">
        <v>7</v>
      </c>
      <c r="C34" s="1" t="s">
        <v>35</v>
      </c>
      <c r="D34" s="1" t="s">
        <v>15</v>
      </c>
      <c r="E34" s="1">
        <v>21.0</v>
      </c>
      <c r="F34" s="1">
        <v>2977.8404</v>
      </c>
    </row>
    <row r="35" ht="14.25" customHeight="1">
      <c r="A35" s="1">
        <v>202412.0</v>
      </c>
      <c r="B35" s="1" t="s">
        <v>7</v>
      </c>
      <c r="C35" s="1" t="s">
        <v>35</v>
      </c>
      <c r="D35" s="1" t="s">
        <v>16</v>
      </c>
      <c r="E35" s="1">
        <v>4076.0</v>
      </c>
      <c r="F35" s="1">
        <v>11669.6453</v>
      </c>
    </row>
    <row r="36" ht="14.25" customHeight="1">
      <c r="A36" s="1">
        <v>202412.0</v>
      </c>
      <c r="B36" s="1" t="s">
        <v>7</v>
      </c>
      <c r="C36" s="1" t="s">
        <v>35</v>
      </c>
      <c r="D36" s="1" t="s">
        <v>17</v>
      </c>
      <c r="E36" s="1">
        <v>2028.0</v>
      </c>
      <c r="F36" s="1">
        <v>3953.5484</v>
      </c>
    </row>
    <row r="37" ht="14.25" customHeight="1">
      <c r="A37" s="1">
        <v>202412.0</v>
      </c>
      <c r="B37" s="1" t="s">
        <v>7</v>
      </c>
      <c r="C37" s="1" t="s">
        <v>35</v>
      </c>
      <c r="D37" s="1" t="s">
        <v>18</v>
      </c>
      <c r="E37" s="1">
        <v>9536.0</v>
      </c>
      <c r="F37" s="1">
        <v>16804.78746</v>
      </c>
    </row>
    <row r="38" ht="14.25" customHeight="1">
      <c r="A38" s="1">
        <v>202412.0</v>
      </c>
      <c r="B38" s="1" t="s">
        <v>7</v>
      </c>
      <c r="C38" s="1" t="s">
        <v>35</v>
      </c>
      <c r="D38" s="1" t="s">
        <v>19</v>
      </c>
      <c r="E38" s="1">
        <v>39.0</v>
      </c>
      <c r="F38" s="1">
        <v>561.8121</v>
      </c>
    </row>
    <row r="39" ht="14.25" customHeight="1">
      <c r="A39" s="1">
        <v>202412.0</v>
      </c>
      <c r="B39" s="1" t="s">
        <v>7</v>
      </c>
      <c r="C39" s="1" t="s">
        <v>35</v>
      </c>
      <c r="D39" s="1" t="s">
        <v>20</v>
      </c>
      <c r="E39" s="1">
        <v>155.0</v>
      </c>
      <c r="F39" s="1">
        <v>365.8225</v>
      </c>
    </row>
    <row r="40" ht="14.25" customHeight="1">
      <c r="A40" s="1">
        <v>202412.0</v>
      </c>
      <c r="B40" s="1" t="s">
        <v>7</v>
      </c>
      <c r="C40" s="1" t="s">
        <v>35</v>
      </c>
      <c r="D40" s="1" t="s">
        <v>21</v>
      </c>
      <c r="E40" s="1">
        <v>155.0</v>
      </c>
      <c r="F40" s="1">
        <v>3329.96155</v>
      </c>
    </row>
    <row r="41" ht="14.25" customHeight="1">
      <c r="A41" s="1">
        <v>202412.0</v>
      </c>
      <c r="B41" s="1" t="s">
        <v>7</v>
      </c>
      <c r="C41" s="1" t="s">
        <v>35</v>
      </c>
      <c r="D41" s="1" t="s">
        <v>22</v>
      </c>
      <c r="E41" s="1">
        <v>2.0</v>
      </c>
      <c r="F41" s="1">
        <v>78.06406</v>
      </c>
    </row>
    <row r="42" ht="14.25" customHeight="1">
      <c r="A42" s="1">
        <v>202412.0</v>
      </c>
      <c r="B42" s="1" t="s">
        <v>7</v>
      </c>
      <c r="C42" s="1" t="s">
        <v>35</v>
      </c>
      <c r="D42" s="1" t="s">
        <v>23</v>
      </c>
      <c r="E42" s="1">
        <v>15811.0</v>
      </c>
      <c r="F42" s="1">
        <v>14914.11495</v>
      </c>
    </row>
    <row r="43" ht="14.25" customHeight="1">
      <c r="A43" s="1">
        <v>202412.0</v>
      </c>
      <c r="B43" s="1" t="s">
        <v>7</v>
      </c>
      <c r="C43" s="1" t="s">
        <v>35</v>
      </c>
      <c r="D43" s="1" t="s">
        <v>24</v>
      </c>
      <c r="E43" s="1">
        <v>19.0</v>
      </c>
      <c r="F43" s="1">
        <v>259.55405</v>
      </c>
    </row>
    <row r="44" ht="14.25" customHeight="1">
      <c r="A44" s="1">
        <v>202412.0</v>
      </c>
      <c r="B44" s="1" t="s">
        <v>7</v>
      </c>
      <c r="C44" s="1" t="s">
        <v>35</v>
      </c>
      <c r="D44" s="1" t="s">
        <v>25</v>
      </c>
      <c r="E44" s="1">
        <v>1689.0</v>
      </c>
      <c r="F44" s="1">
        <v>6284.84262</v>
      </c>
    </row>
    <row r="45" ht="14.25" customHeight="1">
      <c r="A45" s="1">
        <v>202412.0</v>
      </c>
      <c r="B45" s="1" t="s">
        <v>7</v>
      </c>
      <c r="C45" s="1" t="s">
        <v>35</v>
      </c>
      <c r="D45" s="1" t="s">
        <v>26</v>
      </c>
      <c r="E45" s="1">
        <v>1783.0</v>
      </c>
      <c r="F45" s="1">
        <v>3437.98353</v>
      </c>
    </row>
    <row r="46" ht="14.25" customHeight="1">
      <c r="A46" s="1">
        <v>202412.0</v>
      </c>
      <c r="B46" s="1" t="s">
        <v>7</v>
      </c>
      <c r="C46" s="1" t="s">
        <v>35</v>
      </c>
      <c r="D46" s="1" t="s">
        <v>27</v>
      </c>
      <c r="E46" s="1">
        <v>26.0</v>
      </c>
      <c r="F46" s="1">
        <v>1777.30698</v>
      </c>
    </row>
    <row r="47" ht="14.25" customHeight="1">
      <c r="A47" s="1">
        <v>202412.0</v>
      </c>
      <c r="B47" s="1" t="s">
        <v>7</v>
      </c>
      <c r="C47" s="1" t="s">
        <v>35</v>
      </c>
      <c r="D47" s="1" t="s">
        <v>28</v>
      </c>
      <c r="E47" s="1">
        <v>19.0</v>
      </c>
      <c r="F47" s="1">
        <v>321.9075</v>
      </c>
    </row>
    <row r="48" ht="14.25" customHeight="1">
      <c r="A48" s="1">
        <v>202412.0</v>
      </c>
      <c r="B48" s="1" t="s">
        <v>7</v>
      </c>
      <c r="C48" s="1" t="s">
        <v>35</v>
      </c>
      <c r="D48" s="1" t="s">
        <v>29</v>
      </c>
      <c r="E48" s="1">
        <v>37613.0</v>
      </c>
      <c r="F48" s="1">
        <v>64540.72318</v>
      </c>
    </row>
    <row r="49" ht="14.25" customHeight="1">
      <c r="A49" s="1">
        <v>202412.0</v>
      </c>
      <c r="B49" s="1" t="s">
        <v>7</v>
      </c>
      <c r="C49" s="1" t="s">
        <v>35</v>
      </c>
      <c r="D49" s="1" t="s">
        <v>30</v>
      </c>
      <c r="E49" s="1">
        <v>1.0</v>
      </c>
      <c r="F49" s="1">
        <v>485.0124</v>
      </c>
    </row>
    <row r="50" ht="14.25" customHeight="1">
      <c r="A50" s="1">
        <v>202412.0</v>
      </c>
      <c r="B50" s="1" t="s">
        <v>7</v>
      </c>
      <c r="C50" s="1" t="s">
        <v>35</v>
      </c>
      <c r="D50" s="1" t="s">
        <v>31</v>
      </c>
      <c r="E50" s="1">
        <v>818.0</v>
      </c>
      <c r="F50" s="1">
        <v>2706.58346</v>
      </c>
    </row>
    <row r="51" ht="14.25" customHeight="1">
      <c r="A51" s="1">
        <v>202412.0</v>
      </c>
      <c r="B51" s="1" t="s">
        <v>7</v>
      </c>
      <c r="C51" s="1" t="s">
        <v>35</v>
      </c>
      <c r="D51" s="1" t="s">
        <v>32</v>
      </c>
      <c r="E51" s="1">
        <v>19.0</v>
      </c>
      <c r="F51" s="1">
        <v>4450.24421</v>
      </c>
    </row>
    <row r="52" ht="14.25" customHeight="1">
      <c r="A52" s="1">
        <v>202412.0</v>
      </c>
      <c r="B52" s="1" t="s">
        <v>7</v>
      </c>
      <c r="C52" s="1" t="s">
        <v>35</v>
      </c>
      <c r="D52" s="1" t="s">
        <v>33</v>
      </c>
      <c r="E52" s="1">
        <v>9138.0</v>
      </c>
      <c r="F52" s="1">
        <v>76401.60359</v>
      </c>
    </row>
    <row r="53" ht="14.25" customHeight="1">
      <c r="A53" s="1">
        <v>202412.0</v>
      </c>
      <c r="B53" s="1" t="s">
        <v>7</v>
      </c>
      <c r="C53" s="1" t="s">
        <v>35</v>
      </c>
      <c r="D53" s="1" t="s">
        <v>34</v>
      </c>
      <c r="E53" s="1">
        <v>308.0</v>
      </c>
      <c r="F53" s="1">
        <v>7291.97012</v>
      </c>
    </row>
    <row r="54" ht="14.25" customHeight="1">
      <c r="A54" s="1">
        <v>202412.0</v>
      </c>
      <c r="B54" s="1" t="s">
        <v>7</v>
      </c>
      <c r="C54" s="1" t="s">
        <v>36</v>
      </c>
      <c r="D54" s="1" t="s">
        <v>9</v>
      </c>
      <c r="E54" s="1">
        <v>60.0</v>
      </c>
      <c r="F54" s="1">
        <v>1003.11123</v>
      </c>
    </row>
    <row r="55" ht="14.25" customHeight="1">
      <c r="A55" s="1">
        <v>202412.0</v>
      </c>
      <c r="B55" s="1" t="s">
        <v>7</v>
      </c>
      <c r="C55" s="1" t="s">
        <v>36</v>
      </c>
      <c r="D55" s="1" t="s">
        <v>10</v>
      </c>
      <c r="E55" s="1">
        <v>30403.0</v>
      </c>
      <c r="F55" s="1">
        <v>28292.17318</v>
      </c>
    </row>
    <row r="56" ht="14.25" customHeight="1">
      <c r="A56" s="1">
        <v>202412.0</v>
      </c>
      <c r="B56" s="1" t="s">
        <v>7</v>
      </c>
      <c r="C56" s="1" t="s">
        <v>36</v>
      </c>
      <c r="D56" s="1" t="s">
        <v>11</v>
      </c>
      <c r="E56" s="1">
        <v>32236.0</v>
      </c>
      <c r="F56" s="1">
        <v>21416.37156</v>
      </c>
    </row>
    <row r="57" ht="14.25" customHeight="1">
      <c r="A57" s="1">
        <v>202412.0</v>
      </c>
      <c r="B57" s="1" t="s">
        <v>7</v>
      </c>
      <c r="C57" s="1" t="s">
        <v>36</v>
      </c>
      <c r="D57" s="1" t="s">
        <v>12</v>
      </c>
      <c r="E57" s="1">
        <v>156.0</v>
      </c>
      <c r="F57" s="1">
        <v>1985.77191</v>
      </c>
    </row>
    <row r="58" ht="14.25" customHeight="1">
      <c r="A58" s="1">
        <v>202412.0</v>
      </c>
      <c r="B58" s="1" t="s">
        <v>7</v>
      </c>
      <c r="C58" s="1" t="s">
        <v>36</v>
      </c>
      <c r="D58" s="1" t="s">
        <v>13</v>
      </c>
      <c r="E58" s="1">
        <v>436.0</v>
      </c>
      <c r="F58" s="1">
        <v>4866.64482</v>
      </c>
    </row>
    <row r="59" ht="14.25" customHeight="1">
      <c r="A59" s="1">
        <v>202412.0</v>
      </c>
      <c r="B59" s="1" t="s">
        <v>7</v>
      </c>
      <c r="C59" s="1" t="s">
        <v>36</v>
      </c>
      <c r="D59" s="1" t="s">
        <v>14</v>
      </c>
      <c r="E59" s="1">
        <v>489.0</v>
      </c>
      <c r="F59" s="1">
        <v>4963.0363</v>
      </c>
    </row>
    <row r="60" ht="14.25" customHeight="1">
      <c r="A60" s="1">
        <v>202412.0</v>
      </c>
      <c r="B60" s="1" t="s">
        <v>7</v>
      </c>
      <c r="C60" s="1" t="s">
        <v>36</v>
      </c>
      <c r="D60" s="1" t="s">
        <v>15</v>
      </c>
      <c r="E60" s="1">
        <v>30.0</v>
      </c>
      <c r="F60" s="1">
        <v>3995.562</v>
      </c>
    </row>
    <row r="61" ht="14.25" customHeight="1">
      <c r="A61" s="1">
        <v>202412.0</v>
      </c>
      <c r="B61" s="1" t="s">
        <v>7</v>
      </c>
      <c r="C61" s="1" t="s">
        <v>36</v>
      </c>
      <c r="D61" s="1" t="s">
        <v>16</v>
      </c>
      <c r="E61" s="1">
        <v>5728.0</v>
      </c>
      <c r="F61" s="1">
        <v>18861.92993</v>
      </c>
    </row>
    <row r="62" ht="14.25" customHeight="1">
      <c r="A62" s="1">
        <v>202412.0</v>
      </c>
      <c r="B62" s="1" t="s">
        <v>7</v>
      </c>
      <c r="C62" s="1" t="s">
        <v>36</v>
      </c>
      <c r="D62" s="1" t="s">
        <v>17</v>
      </c>
      <c r="E62" s="1">
        <v>3653.0</v>
      </c>
      <c r="F62" s="1">
        <v>7826.606</v>
      </c>
    </row>
    <row r="63" ht="14.25" customHeight="1">
      <c r="A63" s="1">
        <v>202412.0</v>
      </c>
      <c r="B63" s="1" t="s">
        <v>7</v>
      </c>
      <c r="C63" s="1" t="s">
        <v>36</v>
      </c>
      <c r="D63" s="1" t="s">
        <v>18</v>
      </c>
      <c r="E63" s="1">
        <v>13680.0</v>
      </c>
      <c r="F63" s="1">
        <v>25924.55426</v>
      </c>
    </row>
    <row r="64" ht="14.25" customHeight="1">
      <c r="A64" s="1">
        <v>202412.0</v>
      </c>
      <c r="B64" s="1" t="s">
        <v>7</v>
      </c>
      <c r="C64" s="1" t="s">
        <v>36</v>
      </c>
      <c r="D64" s="1" t="s">
        <v>19</v>
      </c>
      <c r="E64" s="1">
        <v>45.0</v>
      </c>
      <c r="F64" s="1">
        <v>1038.78997</v>
      </c>
    </row>
    <row r="65" ht="14.25" customHeight="1">
      <c r="A65" s="1">
        <v>202412.0</v>
      </c>
      <c r="B65" s="1" t="s">
        <v>7</v>
      </c>
      <c r="C65" s="1" t="s">
        <v>36</v>
      </c>
      <c r="D65" s="1" t="s">
        <v>20</v>
      </c>
      <c r="E65" s="1">
        <v>167.0</v>
      </c>
      <c r="F65" s="1">
        <v>691.41373</v>
      </c>
    </row>
    <row r="66" ht="14.25" customHeight="1">
      <c r="A66" s="1">
        <v>202412.0</v>
      </c>
      <c r="B66" s="1" t="s">
        <v>7</v>
      </c>
      <c r="C66" s="1" t="s">
        <v>36</v>
      </c>
      <c r="D66" s="1" t="s">
        <v>37</v>
      </c>
      <c r="E66" s="1">
        <v>11.0</v>
      </c>
      <c r="F66" s="1">
        <v>6617.4664</v>
      </c>
    </row>
    <row r="67" ht="14.25" customHeight="1">
      <c r="A67" s="1">
        <v>202412.0</v>
      </c>
      <c r="B67" s="1" t="s">
        <v>7</v>
      </c>
      <c r="C67" s="1" t="s">
        <v>36</v>
      </c>
      <c r="D67" s="1" t="s">
        <v>21</v>
      </c>
      <c r="E67" s="1">
        <v>266.0</v>
      </c>
      <c r="F67" s="1">
        <v>5947.71499</v>
      </c>
    </row>
    <row r="68" ht="14.25" customHeight="1">
      <c r="A68" s="1">
        <v>202412.0</v>
      </c>
      <c r="B68" s="1" t="s">
        <v>7</v>
      </c>
      <c r="C68" s="1" t="s">
        <v>36</v>
      </c>
      <c r="D68" s="1" t="s">
        <v>23</v>
      </c>
      <c r="E68" s="1">
        <v>20320.0</v>
      </c>
      <c r="F68" s="1">
        <v>19743.48218</v>
      </c>
    </row>
    <row r="69" ht="14.25" customHeight="1">
      <c r="A69" s="1">
        <v>202412.0</v>
      </c>
      <c r="B69" s="1" t="s">
        <v>7</v>
      </c>
      <c r="C69" s="1" t="s">
        <v>36</v>
      </c>
      <c r="D69" s="1" t="s">
        <v>24</v>
      </c>
      <c r="E69" s="1">
        <v>10.0</v>
      </c>
      <c r="F69" s="1">
        <v>300.73167</v>
      </c>
    </row>
    <row r="70" ht="14.25" customHeight="1">
      <c r="A70" s="1">
        <v>202412.0</v>
      </c>
      <c r="B70" s="1" t="s">
        <v>7</v>
      </c>
      <c r="C70" s="1" t="s">
        <v>36</v>
      </c>
      <c r="D70" s="1" t="s">
        <v>25</v>
      </c>
      <c r="E70" s="1">
        <v>1840.0</v>
      </c>
      <c r="F70" s="1">
        <v>9020.87761</v>
      </c>
    </row>
    <row r="71" ht="14.25" customHeight="1">
      <c r="A71" s="1">
        <v>202412.0</v>
      </c>
      <c r="B71" s="1" t="s">
        <v>7</v>
      </c>
      <c r="C71" s="1" t="s">
        <v>36</v>
      </c>
      <c r="D71" s="1" t="s">
        <v>26</v>
      </c>
      <c r="E71" s="1">
        <v>2697.0</v>
      </c>
      <c r="F71" s="1">
        <v>5788.64005</v>
      </c>
    </row>
    <row r="72" ht="14.25" customHeight="1">
      <c r="A72" s="1">
        <v>202412.0</v>
      </c>
      <c r="B72" s="1" t="s">
        <v>7</v>
      </c>
      <c r="C72" s="1" t="s">
        <v>36</v>
      </c>
      <c r="D72" s="1" t="s">
        <v>27</v>
      </c>
      <c r="E72" s="1">
        <v>10.0</v>
      </c>
      <c r="F72" s="1">
        <v>1239.224</v>
      </c>
    </row>
    <row r="73" ht="14.25" customHeight="1">
      <c r="A73" s="1">
        <v>202412.0</v>
      </c>
      <c r="B73" s="1" t="s">
        <v>7</v>
      </c>
      <c r="C73" s="1" t="s">
        <v>36</v>
      </c>
      <c r="D73" s="1" t="s">
        <v>28</v>
      </c>
      <c r="E73" s="1">
        <v>37.0</v>
      </c>
      <c r="F73" s="1">
        <v>803.83603</v>
      </c>
    </row>
    <row r="74" ht="14.25" customHeight="1">
      <c r="A74" s="1">
        <v>202412.0</v>
      </c>
      <c r="B74" s="1" t="s">
        <v>7</v>
      </c>
      <c r="C74" s="1" t="s">
        <v>36</v>
      </c>
      <c r="D74" s="1" t="s">
        <v>29</v>
      </c>
      <c r="E74" s="1">
        <v>44938.0</v>
      </c>
      <c r="F74" s="1">
        <v>97885.08487</v>
      </c>
    </row>
    <row r="75" ht="14.25" customHeight="1">
      <c r="A75" s="1">
        <v>202412.0</v>
      </c>
      <c r="B75" s="1" t="s">
        <v>7</v>
      </c>
      <c r="C75" s="1" t="s">
        <v>36</v>
      </c>
      <c r="D75" s="1" t="s">
        <v>30</v>
      </c>
      <c r="E75" s="1">
        <v>6.0</v>
      </c>
      <c r="F75" s="1">
        <v>6790.0744</v>
      </c>
    </row>
    <row r="76" ht="14.25" customHeight="1">
      <c r="A76" s="1">
        <v>202412.0</v>
      </c>
      <c r="B76" s="1" t="s">
        <v>7</v>
      </c>
      <c r="C76" s="1" t="s">
        <v>36</v>
      </c>
      <c r="D76" s="1" t="s">
        <v>31</v>
      </c>
      <c r="E76" s="1">
        <v>2365.0</v>
      </c>
      <c r="F76" s="1">
        <v>11880.60745</v>
      </c>
    </row>
    <row r="77" ht="14.25" customHeight="1">
      <c r="A77" s="1">
        <v>202412.0</v>
      </c>
      <c r="B77" s="1" t="s">
        <v>7</v>
      </c>
      <c r="C77" s="1" t="s">
        <v>36</v>
      </c>
      <c r="D77" s="1" t="s">
        <v>32</v>
      </c>
      <c r="E77" s="1">
        <v>21.0</v>
      </c>
      <c r="F77" s="1">
        <v>6396.71657</v>
      </c>
    </row>
    <row r="78" ht="14.25" customHeight="1">
      <c r="A78" s="1">
        <v>202412.0</v>
      </c>
      <c r="B78" s="1" t="s">
        <v>7</v>
      </c>
      <c r="C78" s="1" t="s">
        <v>36</v>
      </c>
      <c r="D78" s="1" t="s">
        <v>33</v>
      </c>
      <c r="E78" s="1">
        <v>12542.0</v>
      </c>
      <c r="F78" s="1">
        <v>98995.20406</v>
      </c>
    </row>
    <row r="79" ht="14.25" customHeight="1">
      <c r="A79" s="1">
        <v>202412.0</v>
      </c>
      <c r="B79" s="1" t="s">
        <v>7</v>
      </c>
      <c r="C79" s="1" t="s">
        <v>36</v>
      </c>
      <c r="D79" s="1" t="s">
        <v>34</v>
      </c>
      <c r="E79" s="1">
        <v>471.0</v>
      </c>
      <c r="F79" s="1">
        <v>11128.6214</v>
      </c>
    </row>
    <row r="80" ht="14.25" customHeight="1">
      <c r="A80" s="1">
        <v>202412.0</v>
      </c>
      <c r="B80" s="1" t="s">
        <v>7</v>
      </c>
      <c r="C80" s="1" t="s">
        <v>38</v>
      </c>
      <c r="D80" s="1" t="s">
        <v>9</v>
      </c>
      <c r="E80" s="1">
        <v>22.0</v>
      </c>
      <c r="F80" s="1">
        <v>461.96576</v>
      </c>
    </row>
    <row r="81" ht="14.25" customHeight="1">
      <c r="A81" s="1">
        <v>202412.0</v>
      </c>
      <c r="B81" s="1" t="s">
        <v>7</v>
      </c>
      <c r="C81" s="1" t="s">
        <v>38</v>
      </c>
      <c r="D81" s="1" t="s">
        <v>10</v>
      </c>
      <c r="E81" s="1">
        <v>31577.0</v>
      </c>
      <c r="F81" s="1">
        <v>30928.79795</v>
      </c>
    </row>
    <row r="82" ht="14.25" customHeight="1">
      <c r="A82" s="1">
        <v>202412.0</v>
      </c>
      <c r="B82" s="1" t="s">
        <v>7</v>
      </c>
      <c r="C82" s="1" t="s">
        <v>38</v>
      </c>
      <c r="D82" s="1" t="s">
        <v>11</v>
      </c>
      <c r="E82" s="1">
        <v>28984.0</v>
      </c>
      <c r="F82" s="1">
        <v>19457.17516</v>
      </c>
    </row>
    <row r="83" ht="14.25" customHeight="1">
      <c r="A83" s="1">
        <v>202412.0</v>
      </c>
      <c r="B83" s="1" t="s">
        <v>7</v>
      </c>
      <c r="C83" s="1" t="s">
        <v>38</v>
      </c>
      <c r="D83" s="1" t="s">
        <v>12</v>
      </c>
      <c r="E83" s="1">
        <v>125.0</v>
      </c>
      <c r="F83" s="1">
        <v>1391.46176</v>
      </c>
    </row>
    <row r="84" ht="14.25" customHeight="1">
      <c r="A84" s="1">
        <v>202412.0</v>
      </c>
      <c r="B84" s="1" t="s">
        <v>7</v>
      </c>
      <c r="C84" s="1" t="s">
        <v>38</v>
      </c>
      <c r="D84" s="1" t="s">
        <v>13</v>
      </c>
      <c r="E84" s="1">
        <v>473.0</v>
      </c>
      <c r="F84" s="1">
        <v>6019.19898</v>
      </c>
    </row>
    <row r="85" ht="14.25" customHeight="1">
      <c r="A85" s="1">
        <v>202412.0</v>
      </c>
      <c r="B85" s="1" t="s">
        <v>7</v>
      </c>
      <c r="C85" s="1" t="s">
        <v>38</v>
      </c>
      <c r="D85" s="1" t="s">
        <v>14</v>
      </c>
      <c r="E85" s="1">
        <v>525.0</v>
      </c>
      <c r="F85" s="1">
        <v>6552.11434</v>
      </c>
    </row>
    <row r="86" ht="14.25" customHeight="1">
      <c r="A86" s="1">
        <v>202412.0</v>
      </c>
      <c r="B86" s="1" t="s">
        <v>7</v>
      </c>
      <c r="C86" s="1" t="s">
        <v>38</v>
      </c>
      <c r="D86" s="1" t="s">
        <v>15</v>
      </c>
      <c r="E86" s="1">
        <v>21.0</v>
      </c>
      <c r="F86" s="1">
        <v>3038.80096</v>
      </c>
    </row>
    <row r="87" ht="14.25" customHeight="1">
      <c r="A87" s="1">
        <v>202412.0</v>
      </c>
      <c r="B87" s="1" t="s">
        <v>7</v>
      </c>
      <c r="C87" s="1" t="s">
        <v>38</v>
      </c>
      <c r="D87" s="1" t="s">
        <v>16</v>
      </c>
      <c r="E87" s="1">
        <v>7054.0</v>
      </c>
      <c r="F87" s="1">
        <v>24591.66612</v>
      </c>
    </row>
    <row r="88" ht="14.25" customHeight="1">
      <c r="A88" s="1">
        <v>202412.0</v>
      </c>
      <c r="B88" s="1" t="s">
        <v>7</v>
      </c>
      <c r="C88" s="1" t="s">
        <v>38</v>
      </c>
      <c r="D88" s="1" t="s">
        <v>17</v>
      </c>
      <c r="E88" s="1">
        <v>3181.0</v>
      </c>
      <c r="F88" s="1">
        <v>6604.54887</v>
      </c>
    </row>
    <row r="89" ht="14.25" customHeight="1">
      <c r="A89" s="1">
        <v>202412.0</v>
      </c>
      <c r="B89" s="1" t="s">
        <v>7</v>
      </c>
      <c r="C89" s="1" t="s">
        <v>38</v>
      </c>
      <c r="D89" s="1" t="s">
        <v>18</v>
      </c>
      <c r="E89" s="1">
        <v>12958.0</v>
      </c>
      <c r="F89" s="1">
        <v>26213.71743</v>
      </c>
    </row>
    <row r="90" ht="14.25" customHeight="1">
      <c r="A90" s="1">
        <v>202412.0</v>
      </c>
      <c r="B90" s="1" t="s">
        <v>7</v>
      </c>
      <c r="C90" s="1" t="s">
        <v>38</v>
      </c>
      <c r="D90" s="1" t="s">
        <v>19</v>
      </c>
      <c r="E90" s="1">
        <v>19.0</v>
      </c>
      <c r="F90" s="1">
        <v>451.9648</v>
      </c>
    </row>
    <row r="91" ht="14.25" customHeight="1">
      <c r="A91" s="1">
        <v>202412.0</v>
      </c>
      <c r="B91" s="1" t="s">
        <v>7</v>
      </c>
      <c r="C91" s="1" t="s">
        <v>38</v>
      </c>
      <c r="D91" s="1" t="s">
        <v>20</v>
      </c>
      <c r="E91" s="1">
        <v>123.0</v>
      </c>
      <c r="F91" s="1">
        <v>310.36067</v>
      </c>
    </row>
    <row r="92" ht="14.25" customHeight="1">
      <c r="A92" s="1">
        <v>202412.0</v>
      </c>
      <c r="B92" s="1" t="s">
        <v>7</v>
      </c>
      <c r="C92" s="1" t="s">
        <v>38</v>
      </c>
      <c r="D92" s="1" t="s">
        <v>37</v>
      </c>
      <c r="E92" s="1">
        <v>6.0</v>
      </c>
      <c r="F92" s="1">
        <v>3339.8744</v>
      </c>
    </row>
    <row r="93" ht="14.25" customHeight="1">
      <c r="A93" s="1">
        <v>202412.0</v>
      </c>
      <c r="B93" s="1" t="s">
        <v>7</v>
      </c>
      <c r="C93" s="1" t="s">
        <v>38</v>
      </c>
      <c r="D93" s="1" t="s">
        <v>21</v>
      </c>
      <c r="E93" s="1">
        <v>108.0</v>
      </c>
      <c r="F93" s="1">
        <v>3345.53277</v>
      </c>
    </row>
    <row r="94" ht="14.25" customHeight="1">
      <c r="A94" s="1">
        <v>202412.0</v>
      </c>
      <c r="B94" s="1" t="s">
        <v>7</v>
      </c>
      <c r="C94" s="1" t="s">
        <v>38</v>
      </c>
      <c r="D94" s="1" t="s">
        <v>22</v>
      </c>
      <c r="E94" s="1">
        <v>2.0</v>
      </c>
      <c r="F94" s="1">
        <v>28.3248</v>
      </c>
    </row>
    <row r="95" ht="14.25" customHeight="1">
      <c r="A95" s="1">
        <v>202412.0</v>
      </c>
      <c r="B95" s="1" t="s">
        <v>7</v>
      </c>
      <c r="C95" s="1" t="s">
        <v>38</v>
      </c>
      <c r="D95" s="1" t="s">
        <v>23</v>
      </c>
      <c r="E95" s="1">
        <v>18166.0</v>
      </c>
      <c r="F95" s="1">
        <v>19294.71883</v>
      </c>
    </row>
    <row r="96" ht="14.25" customHeight="1">
      <c r="A96" s="1">
        <v>202412.0</v>
      </c>
      <c r="B96" s="1" t="s">
        <v>7</v>
      </c>
      <c r="C96" s="1" t="s">
        <v>38</v>
      </c>
      <c r="D96" s="1" t="s">
        <v>24</v>
      </c>
      <c r="E96" s="1">
        <v>5.0</v>
      </c>
      <c r="F96" s="1">
        <v>77.94264</v>
      </c>
    </row>
    <row r="97" ht="14.25" customHeight="1">
      <c r="A97" s="1">
        <v>202412.0</v>
      </c>
      <c r="B97" s="1" t="s">
        <v>7</v>
      </c>
      <c r="C97" s="1" t="s">
        <v>38</v>
      </c>
      <c r="D97" s="1" t="s">
        <v>25</v>
      </c>
      <c r="E97" s="1">
        <v>1764.0</v>
      </c>
      <c r="F97" s="1">
        <v>8962.34473</v>
      </c>
    </row>
    <row r="98" ht="14.25" customHeight="1">
      <c r="A98" s="1">
        <v>202412.0</v>
      </c>
      <c r="B98" s="1" t="s">
        <v>7</v>
      </c>
      <c r="C98" s="1" t="s">
        <v>38</v>
      </c>
      <c r="D98" s="1" t="s">
        <v>26</v>
      </c>
      <c r="E98" s="1">
        <v>2384.0</v>
      </c>
      <c r="F98" s="1">
        <v>5526.52648</v>
      </c>
    </row>
    <row r="99" ht="14.25" customHeight="1">
      <c r="A99" s="1">
        <v>202412.0</v>
      </c>
      <c r="B99" s="1" t="s">
        <v>7</v>
      </c>
      <c r="C99" s="1" t="s">
        <v>38</v>
      </c>
      <c r="D99" s="1" t="s">
        <v>27</v>
      </c>
      <c r="E99" s="1">
        <v>6.0</v>
      </c>
      <c r="F99" s="1">
        <v>706.0744</v>
      </c>
    </row>
    <row r="100" ht="14.25" customHeight="1">
      <c r="A100" s="1">
        <v>202412.0</v>
      </c>
      <c r="B100" s="1" t="s">
        <v>7</v>
      </c>
      <c r="C100" s="1" t="s">
        <v>38</v>
      </c>
      <c r="D100" s="1" t="s">
        <v>28</v>
      </c>
      <c r="E100" s="1">
        <v>19.0</v>
      </c>
      <c r="F100" s="1">
        <v>274.67209</v>
      </c>
    </row>
    <row r="101" ht="14.25" customHeight="1">
      <c r="A101" s="1">
        <v>202412.0</v>
      </c>
      <c r="B101" s="1" t="s">
        <v>7</v>
      </c>
      <c r="C101" s="1" t="s">
        <v>38</v>
      </c>
      <c r="D101" s="1" t="s">
        <v>29</v>
      </c>
      <c r="E101" s="1">
        <v>39854.0</v>
      </c>
      <c r="F101" s="1">
        <v>91068.18692</v>
      </c>
    </row>
    <row r="102" ht="14.25" customHeight="1">
      <c r="A102" s="1">
        <v>202412.0</v>
      </c>
      <c r="B102" s="1" t="s">
        <v>7</v>
      </c>
      <c r="C102" s="1" t="s">
        <v>38</v>
      </c>
      <c r="D102" s="1" t="s">
        <v>30</v>
      </c>
      <c r="E102" s="1">
        <v>3.0</v>
      </c>
      <c r="F102" s="1">
        <v>6305.0372</v>
      </c>
    </row>
    <row r="103" ht="14.25" customHeight="1">
      <c r="A103" s="1">
        <v>202412.0</v>
      </c>
      <c r="B103" s="1" t="s">
        <v>7</v>
      </c>
      <c r="C103" s="1" t="s">
        <v>38</v>
      </c>
      <c r="D103" s="1" t="s">
        <v>31</v>
      </c>
      <c r="E103" s="1">
        <v>702.0</v>
      </c>
      <c r="F103" s="1">
        <v>1849.01529</v>
      </c>
    </row>
    <row r="104" ht="14.25" customHeight="1">
      <c r="A104" s="1">
        <v>202412.0</v>
      </c>
      <c r="B104" s="1" t="s">
        <v>7</v>
      </c>
      <c r="C104" s="1" t="s">
        <v>38</v>
      </c>
      <c r="D104" s="1" t="s">
        <v>32</v>
      </c>
      <c r="E104" s="1">
        <v>19.0</v>
      </c>
      <c r="F104" s="1">
        <v>7040.5156</v>
      </c>
    </row>
    <row r="105" ht="14.25" customHeight="1">
      <c r="A105" s="1">
        <v>202412.0</v>
      </c>
      <c r="B105" s="1" t="s">
        <v>7</v>
      </c>
      <c r="C105" s="1" t="s">
        <v>38</v>
      </c>
      <c r="D105" s="1" t="s">
        <v>33</v>
      </c>
      <c r="E105" s="1">
        <v>10874.0</v>
      </c>
      <c r="F105" s="1">
        <v>78580.14806</v>
      </c>
    </row>
    <row r="106" ht="14.25" customHeight="1">
      <c r="A106" s="1">
        <v>202412.0</v>
      </c>
      <c r="B106" s="1" t="s">
        <v>7</v>
      </c>
      <c r="C106" s="1" t="s">
        <v>38</v>
      </c>
      <c r="D106" s="1" t="s">
        <v>34</v>
      </c>
      <c r="E106" s="1">
        <v>640.0</v>
      </c>
      <c r="F106" s="1">
        <v>15298.41698</v>
      </c>
    </row>
    <row r="107" ht="14.25" customHeight="1">
      <c r="A107" s="1">
        <v>202412.0</v>
      </c>
      <c r="B107" s="1" t="s">
        <v>7</v>
      </c>
      <c r="C107" s="1" t="s">
        <v>39</v>
      </c>
      <c r="D107" s="1" t="s">
        <v>9</v>
      </c>
      <c r="E107" s="1">
        <v>17.0</v>
      </c>
      <c r="F107" s="1">
        <v>220.60888</v>
      </c>
    </row>
    <row r="108" ht="14.25" customHeight="1">
      <c r="A108" s="1">
        <v>202412.0</v>
      </c>
      <c r="B108" s="1" t="s">
        <v>7</v>
      </c>
      <c r="C108" s="1" t="s">
        <v>39</v>
      </c>
      <c r="D108" s="1" t="s">
        <v>10</v>
      </c>
      <c r="E108" s="1">
        <v>32965.0</v>
      </c>
      <c r="F108" s="1">
        <v>31930.31138</v>
      </c>
    </row>
    <row r="109" ht="14.25" customHeight="1">
      <c r="A109" s="1">
        <v>202412.0</v>
      </c>
      <c r="B109" s="1" t="s">
        <v>7</v>
      </c>
      <c r="C109" s="1" t="s">
        <v>39</v>
      </c>
      <c r="D109" s="1" t="s">
        <v>11</v>
      </c>
      <c r="E109" s="1">
        <v>32897.0</v>
      </c>
      <c r="F109" s="1">
        <v>21774.77389</v>
      </c>
    </row>
    <row r="110" ht="14.25" customHeight="1">
      <c r="A110" s="1">
        <v>202412.0</v>
      </c>
      <c r="B110" s="1" t="s">
        <v>7</v>
      </c>
      <c r="C110" s="1" t="s">
        <v>39</v>
      </c>
      <c r="D110" s="1" t="s">
        <v>12</v>
      </c>
      <c r="E110" s="1">
        <v>144.0</v>
      </c>
      <c r="F110" s="1">
        <v>1665.27849</v>
      </c>
    </row>
    <row r="111" ht="14.25" customHeight="1">
      <c r="A111" s="1">
        <v>202412.0</v>
      </c>
      <c r="B111" s="1" t="s">
        <v>7</v>
      </c>
      <c r="C111" s="1" t="s">
        <v>39</v>
      </c>
      <c r="D111" s="1" t="s">
        <v>13</v>
      </c>
      <c r="E111" s="1">
        <v>645.0</v>
      </c>
      <c r="F111" s="1">
        <v>7095.92868</v>
      </c>
    </row>
    <row r="112" ht="14.25" customHeight="1">
      <c r="A112" s="1">
        <v>202412.0</v>
      </c>
      <c r="B112" s="1" t="s">
        <v>7</v>
      </c>
      <c r="C112" s="1" t="s">
        <v>39</v>
      </c>
      <c r="D112" s="1" t="s">
        <v>14</v>
      </c>
      <c r="E112" s="1">
        <v>815.0</v>
      </c>
      <c r="F112" s="1">
        <v>8870.67269</v>
      </c>
    </row>
    <row r="113" ht="14.25" customHeight="1">
      <c r="A113" s="1">
        <v>202412.0</v>
      </c>
      <c r="B113" s="1" t="s">
        <v>7</v>
      </c>
      <c r="C113" s="1" t="s">
        <v>39</v>
      </c>
      <c r="D113" s="1" t="s">
        <v>15</v>
      </c>
      <c r="E113" s="1">
        <v>34.0</v>
      </c>
      <c r="F113" s="1">
        <v>6381.11066</v>
      </c>
    </row>
    <row r="114" ht="14.25" customHeight="1">
      <c r="A114" s="1">
        <v>202412.0</v>
      </c>
      <c r="B114" s="1" t="s">
        <v>7</v>
      </c>
      <c r="C114" s="1" t="s">
        <v>39</v>
      </c>
      <c r="D114" s="1" t="s">
        <v>16</v>
      </c>
      <c r="E114" s="1">
        <v>7416.0</v>
      </c>
      <c r="F114" s="1">
        <v>20644.2281</v>
      </c>
    </row>
    <row r="115" ht="14.25" customHeight="1">
      <c r="A115" s="1">
        <v>202412.0</v>
      </c>
      <c r="B115" s="1" t="s">
        <v>7</v>
      </c>
      <c r="C115" s="1" t="s">
        <v>39</v>
      </c>
      <c r="D115" s="1" t="s">
        <v>17</v>
      </c>
      <c r="E115" s="1">
        <v>6267.0</v>
      </c>
      <c r="F115" s="1">
        <v>11278.99495</v>
      </c>
    </row>
    <row r="116" ht="14.25" customHeight="1">
      <c r="A116" s="1">
        <v>202412.0</v>
      </c>
      <c r="B116" s="1" t="s">
        <v>7</v>
      </c>
      <c r="C116" s="1" t="s">
        <v>39</v>
      </c>
      <c r="D116" s="1" t="s">
        <v>18</v>
      </c>
      <c r="E116" s="1">
        <v>16216.0</v>
      </c>
      <c r="F116" s="1">
        <v>26836.31144</v>
      </c>
    </row>
    <row r="117" ht="14.25" customHeight="1">
      <c r="A117" s="1">
        <v>202412.0</v>
      </c>
      <c r="B117" s="1" t="s">
        <v>7</v>
      </c>
      <c r="C117" s="1" t="s">
        <v>39</v>
      </c>
      <c r="D117" s="1" t="s">
        <v>19</v>
      </c>
      <c r="E117" s="1">
        <v>39.0</v>
      </c>
      <c r="F117" s="1">
        <v>589.45611</v>
      </c>
    </row>
    <row r="118" ht="14.25" customHeight="1">
      <c r="A118" s="1">
        <v>202412.0</v>
      </c>
      <c r="B118" s="1" t="s">
        <v>7</v>
      </c>
      <c r="C118" s="1" t="s">
        <v>39</v>
      </c>
      <c r="D118" s="1" t="s">
        <v>20</v>
      </c>
      <c r="E118" s="1">
        <v>245.0</v>
      </c>
      <c r="F118" s="1">
        <v>651.06537</v>
      </c>
    </row>
    <row r="119" ht="14.25" customHeight="1">
      <c r="A119" s="1">
        <v>202412.0</v>
      </c>
      <c r="B119" s="1" t="s">
        <v>7</v>
      </c>
      <c r="C119" s="1" t="s">
        <v>39</v>
      </c>
      <c r="D119" s="1" t="s">
        <v>37</v>
      </c>
      <c r="E119" s="1">
        <v>6.0</v>
      </c>
      <c r="F119" s="1">
        <v>2813.17954</v>
      </c>
    </row>
    <row r="120" ht="14.25" customHeight="1">
      <c r="A120" s="1">
        <v>202412.0</v>
      </c>
      <c r="B120" s="1" t="s">
        <v>7</v>
      </c>
      <c r="C120" s="1" t="s">
        <v>39</v>
      </c>
      <c r="D120" s="1" t="s">
        <v>21</v>
      </c>
      <c r="E120" s="1">
        <v>205.0</v>
      </c>
      <c r="F120" s="1">
        <v>5148.99034</v>
      </c>
    </row>
    <row r="121" ht="14.25" customHeight="1">
      <c r="A121" s="1">
        <v>202412.0</v>
      </c>
      <c r="B121" s="1" t="s">
        <v>7</v>
      </c>
      <c r="C121" s="1" t="s">
        <v>39</v>
      </c>
      <c r="D121" s="1" t="s">
        <v>22</v>
      </c>
      <c r="E121" s="1">
        <v>5.0</v>
      </c>
      <c r="F121" s="1">
        <v>240.75055</v>
      </c>
    </row>
    <row r="122" ht="14.25" customHeight="1">
      <c r="A122" s="1">
        <v>202412.0</v>
      </c>
      <c r="B122" s="1" t="s">
        <v>7</v>
      </c>
      <c r="C122" s="1" t="s">
        <v>39</v>
      </c>
      <c r="D122" s="1" t="s">
        <v>23</v>
      </c>
      <c r="E122" s="1">
        <v>25026.0</v>
      </c>
      <c r="F122" s="1">
        <v>23466.96253</v>
      </c>
    </row>
    <row r="123" ht="14.25" customHeight="1">
      <c r="A123" s="1">
        <v>202412.0</v>
      </c>
      <c r="B123" s="1" t="s">
        <v>7</v>
      </c>
      <c r="C123" s="1" t="s">
        <v>39</v>
      </c>
      <c r="D123" s="1" t="s">
        <v>24</v>
      </c>
      <c r="E123" s="1">
        <v>14.0</v>
      </c>
      <c r="F123" s="1">
        <v>353.91292</v>
      </c>
    </row>
    <row r="124" ht="14.25" customHeight="1">
      <c r="A124" s="1">
        <v>202412.0</v>
      </c>
      <c r="B124" s="1" t="s">
        <v>7</v>
      </c>
      <c r="C124" s="1" t="s">
        <v>39</v>
      </c>
      <c r="D124" s="1" t="s">
        <v>25</v>
      </c>
      <c r="E124" s="1">
        <v>2395.0</v>
      </c>
      <c r="F124" s="1">
        <v>6664.8773</v>
      </c>
    </row>
    <row r="125" ht="14.25" customHeight="1">
      <c r="A125" s="1">
        <v>202412.0</v>
      </c>
      <c r="B125" s="1" t="s">
        <v>7</v>
      </c>
      <c r="C125" s="1" t="s">
        <v>39</v>
      </c>
      <c r="D125" s="1" t="s">
        <v>26</v>
      </c>
      <c r="E125" s="1">
        <v>2596.0</v>
      </c>
      <c r="F125" s="1">
        <v>5143.86457</v>
      </c>
    </row>
    <row r="126" ht="14.25" customHeight="1">
      <c r="A126" s="1">
        <v>202412.0</v>
      </c>
      <c r="B126" s="1" t="s">
        <v>7</v>
      </c>
      <c r="C126" s="1" t="s">
        <v>39</v>
      </c>
      <c r="D126" s="1" t="s">
        <v>27</v>
      </c>
      <c r="E126" s="1">
        <v>5.0</v>
      </c>
      <c r="F126" s="1">
        <v>629.062</v>
      </c>
    </row>
    <row r="127" ht="14.25" customHeight="1">
      <c r="A127" s="1">
        <v>202412.0</v>
      </c>
      <c r="B127" s="1" t="s">
        <v>7</v>
      </c>
      <c r="C127" s="1" t="s">
        <v>39</v>
      </c>
      <c r="D127" s="1" t="s">
        <v>28</v>
      </c>
      <c r="E127" s="1">
        <v>43.0</v>
      </c>
      <c r="F127" s="1">
        <v>748.40077</v>
      </c>
    </row>
    <row r="128" ht="14.25" customHeight="1">
      <c r="A128" s="1">
        <v>202412.0</v>
      </c>
      <c r="B128" s="1" t="s">
        <v>7</v>
      </c>
      <c r="C128" s="1" t="s">
        <v>39</v>
      </c>
      <c r="D128" s="1" t="s">
        <v>29</v>
      </c>
      <c r="E128" s="1">
        <v>43439.0</v>
      </c>
      <c r="F128" s="1">
        <v>63210.87077</v>
      </c>
    </row>
    <row r="129" ht="14.25" customHeight="1">
      <c r="A129" s="1">
        <v>202412.0</v>
      </c>
      <c r="B129" s="1" t="s">
        <v>7</v>
      </c>
      <c r="C129" s="1" t="s">
        <v>39</v>
      </c>
      <c r="D129" s="1" t="s">
        <v>30</v>
      </c>
      <c r="E129" s="1">
        <v>3.0</v>
      </c>
      <c r="F129" s="1">
        <v>2640.42254</v>
      </c>
    </row>
    <row r="130" ht="14.25" customHeight="1">
      <c r="A130" s="1">
        <v>202412.0</v>
      </c>
      <c r="B130" s="1" t="s">
        <v>7</v>
      </c>
      <c r="C130" s="1" t="s">
        <v>39</v>
      </c>
      <c r="D130" s="1" t="s">
        <v>31</v>
      </c>
      <c r="E130" s="1">
        <v>1333.0</v>
      </c>
      <c r="F130" s="1">
        <v>1866.88799</v>
      </c>
    </row>
    <row r="131" ht="14.25" customHeight="1">
      <c r="A131" s="1">
        <v>202412.0</v>
      </c>
      <c r="B131" s="1" t="s">
        <v>7</v>
      </c>
      <c r="C131" s="1" t="s">
        <v>39</v>
      </c>
      <c r="D131" s="1" t="s">
        <v>32</v>
      </c>
      <c r="E131" s="1">
        <v>34.0</v>
      </c>
      <c r="F131" s="1">
        <v>9432.44532</v>
      </c>
    </row>
    <row r="132" ht="14.25" customHeight="1">
      <c r="A132" s="1">
        <v>202412.0</v>
      </c>
      <c r="B132" s="1" t="s">
        <v>7</v>
      </c>
      <c r="C132" s="1" t="s">
        <v>39</v>
      </c>
      <c r="D132" s="1" t="s">
        <v>33</v>
      </c>
      <c r="E132" s="1">
        <v>17800.0</v>
      </c>
      <c r="F132" s="1">
        <v>114774.8267</v>
      </c>
    </row>
    <row r="133" ht="14.25" customHeight="1">
      <c r="A133" s="1">
        <v>202412.0</v>
      </c>
      <c r="B133" s="1" t="s">
        <v>7</v>
      </c>
      <c r="C133" s="1" t="s">
        <v>39</v>
      </c>
      <c r="D133" s="1" t="s">
        <v>34</v>
      </c>
      <c r="E133" s="1">
        <v>1375.0</v>
      </c>
      <c r="F133" s="1">
        <v>29953.56875</v>
      </c>
    </row>
    <row r="134" ht="14.25" customHeight="1">
      <c r="A134" s="1">
        <v>202412.0</v>
      </c>
      <c r="B134" s="1" t="s">
        <v>7</v>
      </c>
      <c r="C134" s="1" t="s">
        <v>40</v>
      </c>
      <c r="D134" s="1" t="s">
        <v>9</v>
      </c>
      <c r="E134" s="1">
        <v>22.0</v>
      </c>
      <c r="F134" s="1">
        <v>380.36398</v>
      </c>
    </row>
    <row r="135" ht="14.25" customHeight="1">
      <c r="A135" s="1">
        <v>202412.0</v>
      </c>
      <c r="B135" s="1" t="s">
        <v>7</v>
      </c>
      <c r="C135" s="1" t="s">
        <v>40</v>
      </c>
      <c r="D135" s="1" t="s">
        <v>10</v>
      </c>
      <c r="E135" s="1">
        <v>31751.0</v>
      </c>
      <c r="F135" s="1">
        <v>30780.49955</v>
      </c>
    </row>
    <row r="136" ht="14.25" customHeight="1">
      <c r="A136" s="1">
        <v>202412.0</v>
      </c>
      <c r="B136" s="1" t="s">
        <v>7</v>
      </c>
      <c r="C136" s="1" t="s">
        <v>40</v>
      </c>
      <c r="D136" s="1" t="s">
        <v>11</v>
      </c>
      <c r="E136" s="1">
        <v>29972.0</v>
      </c>
      <c r="F136" s="1">
        <v>18553.53959</v>
      </c>
    </row>
    <row r="137" ht="14.25" customHeight="1">
      <c r="A137" s="1">
        <v>202412.0</v>
      </c>
      <c r="B137" s="1" t="s">
        <v>7</v>
      </c>
      <c r="C137" s="1" t="s">
        <v>40</v>
      </c>
      <c r="D137" s="1" t="s">
        <v>12</v>
      </c>
      <c r="E137" s="1">
        <v>142.0</v>
      </c>
      <c r="F137" s="1">
        <v>1718.42057</v>
      </c>
    </row>
    <row r="138" ht="14.25" customHeight="1">
      <c r="A138" s="1">
        <v>202412.0</v>
      </c>
      <c r="B138" s="1" t="s">
        <v>7</v>
      </c>
      <c r="C138" s="1" t="s">
        <v>40</v>
      </c>
      <c r="D138" s="1" t="s">
        <v>13</v>
      </c>
      <c r="E138" s="1">
        <v>536.0</v>
      </c>
      <c r="F138" s="1">
        <v>5653.30807</v>
      </c>
    </row>
    <row r="139" ht="14.25" customHeight="1">
      <c r="A139" s="1">
        <v>202412.0</v>
      </c>
      <c r="B139" s="1" t="s">
        <v>7</v>
      </c>
      <c r="C139" s="1" t="s">
        <v>40</v>
      </c>
      <c r="D139" s="1" t="s">
        <v>14</v>
      </c>
      <c r="E139" s="1">
        <v>468.0</v>
      </c>
      <c r="F139" s="1">
        <v>4896.01441</v>
      </c>
    </row>
    <row r="140" ht="14.25" customHeight="1">
      <c r="A140" s="1">
        <v>202412.0</v>
      </c>
      <c r="B140" s="1" t="s">
        <v>7</v>
      </c>
      <c r="C140" s="1" t="s">
        <v>40</v>
      </c>
      <c r="D140" s="1" t="s">
        <v>15</v>
      </c>
      <c r="E140" s="1">
        <v>32.0</v>
      </c>
      <c r="F140" s="1">
        <v>3460.34256</v>
      </c>
    </row>
    <row r="141" ht="14.25" customHeight="1">
      <c r="A141" s="1">
        <v>202412.0</v>
      </c>
      <c r="B141" s="1" t="s">
        <v>7</v>
      </c>
      <c r="C141" s="1" t="s">
        <v>40</v>
      </c>
      <c r="D141" s="1" t="s">
        <v>16</v>
      </c>
      <c r="E141" s="1">
        <v>9690.0</v>
      </c>
      <c r="F141" s="1">
        <v>27164.47741</v>
      </c>
    </row>
    <row r="142" ht="14.25" customHeight="1">
      <c r="A142" s="1">
        <v>202412.0</v>
      </c>
      <c r="B142" s="1" t="s">
        <v>7</v>
      </c>
      <c r="C142" s="1" t="s">
        <v>40</v>
      </c>
      <c r="D142" s="1" t="s">
        <v>17</v>
      </c>
      <c r="E142" s="1">
        <v>2966.0</v>
      </c>
      <c r="F142" s="1">
        <v>5169.11191</v>
      </c>
    </row>
    <row r="143" ht="14.25" customHeight="1">
      <c r="A143" s="1">
        <v>202412.0</v>
      </c>
      <c r="B143" s="1" t="s">
        <v>7</v>
      </c>
      <c r="C143" s="1" t="s">
        <v>40</v>
      </c>
      <c r="D143" s="1" t="s">
        <v>18</v>
      </c>
      <c r="E143" s="1">
        <v>13189.0</v>
      </c>
      <c r="F143" s="1">
        <v>21333.16399</v>
      </c>
    </row>
    <row r="144" ht="14.25" customHeight="1">
      <c r="A144" s="1">
        <v>202412.0</v>
      </c>
      <c r="B144" s="1" t="s">
        <v>7</v>
      </c>
      <c r="C144" s="1" t="s">
        <v>40</v>
      </c>
      <c r="D144" s="1" t="s">
        <v>19</v>
      </c>
      <c r="E144" s="1">
        <v>61.0</v>
      </c>
      <c r="F144" s="1">
        <v>638.41944</v>
      </c>
    </row>
    <row r="145" ht="14.25" customHeight="1">
      <c r="A145" s="1">
        <v>202412.0</v>
      </c>
      <c r="B145" s="1" t="s">
        <v>7</v>
      </c>
      <c r="C145" s="1" t="s">
        <v>40</v>
      </c>
      <c r="D145" s="1" t="s">
        <v>20</v>
      </c>
      <c r="E145" s="1">
        <v>214.0</v>
      </c>
      <c r="F145" s="1">
        <v>576.74364</v>
      </c>
    </row>
    <row r="146" ht="14.25" customHeight="1">
      <c r="A146" s="1">
        <v>202412.0</v>
      </c>
      <c r="B146" s="1" t="s">
        <v>7</v>
      </c>
      <c r="C146" s="1" t="s">
        <v>40</v>
      </c>
      <c r="D146" s="1" t="s">
        <v>37</v>
      </c>
      <c r="E146" s="1">
        <v>1.0</v>
      </c>
      <c r="F146" s="1">
        <v>575.4324</v>
      </c>
    </row>
    <row r="147" ht="14.25" customHeight="1">
      <c r="A147" s="1">
        <v>202412.0</v>
      </c>
      <c r="B147" s="1" t="s">
        <v>7</v>
      </c>
      <c r="C147" s="1" t="s">
        <v>40</v>
      </c>
      <c r="D147" s="1" t="s">
        <v>21</v>
      </c>
      <c r="E147" s="1">
        <v>171.0</v>
      </c>
      <c r="F147" s="1">
        <v>3932.19843</v>
      </c>
    </row>
    <row r="148" ht="14.25" customHeight="1">
      <c r="A148" s="1">
        <v>202412.0</v>
      </c>
      <c r="B148" s="1" t="s">
        <v>7</v>
      </c>
      <c r="C148" s="1" t="s">
        <v>40</v>
      </c>
      <c r="D148" s="1" t="s">
        <v>22</v>
      </c>
      <c r="E148" s="1">
        <v>5.0</v>
      </c>
      <c r="F148" s="1">
        <v>262.18803</v>
      </c>
    </row>
    <row r="149" ht="14.25" customHeight="1">
      <c r="A149" s="1">
        <v>202412.0</v>
      </c>
      <c r="B149" s="1" t="s">
        <v>7</v>
      </c>
      <c r="C149" s="1" t="s">
        <v>40</v>
      </c>
      <c r="D149" s="1" t="s">
        <v>23</v>
      </c>
      <c r="E149" s="1">
        <v>23155.0</v>
      </c>
      <c r="F149" s="1">
        <v>22947.20836</v>
      </c>
    </row>
    <row r="150" ht="14.25" customHeight="1">
      <c r="A150" s="1">
        <v>202412.0</v>
      </c>
      <c r="B150" s="1" t="s">
        <v>7</v>
      </c>
      <c r="C150" s="1" t="s">
        <v>40</v>
      </c>
      <c r="D150" s="1" t="s">
        <v>24</v>
      </c>
      <c r="E150" s="1">
        <v>20.0</v>
      </c>
      <c r="F150" s="1">
        <v>323.13348</v>
      </c>
    </row>
    <row r="151" ht="14.25" customHeight="1">
      <c r="A151" s="1">
        <v>202412.0</v>
      </c>
      <c r="B151" s="1" t="s">
        <v>7</v>
      </c>
      <c r="C151" s="1" t="s">
        <v>40</v>
      </c>
      <c r="D151" s="1" t="s">
        <v>25</v>
      </c>
      <c r="E151" s="1">
        <v>2266.0</v>
      </c>
      <c r="F151" s="1">
        <v>6816.09701</v>
      </c>
    </row>
    <row r="152" ht="14.25" customHeight="1">
      <c r="A152" s="1">
        <v>202412.0</v>
      </c>
      <c r="B152" s="1" t="s">
        <v>7</v>
      </c>
      <c r="C152" s="1" t="s">
        <v>40</v>
      </c>
      <c r="D152" s="1" t="s">
        <v>26</v>
      </c>
      <c r="E152" s="1">
        <v>2963.0</v>
      </c>
      <c r="F152" s="1">
        <v>5526.81384</v>
      </c>
    </row>
    <row r="153" ht="14.25" customHeight="1">
      <c r="A153" s="1">
        <v>202412.0</v>
      </c>
      <c r="B153" s="1" t="s">
        <v>7</v>
      </c>
      <c r="C153" s="1" t="s">
        <v>40</v>
      </c>
      <c r="D153" s="1" t="s">
        <v>27</v>
      </c>
      <c r="E153" s="1">
        <v>9.0</v>
      </c>
      <c r="F153" s="1">
        <v>1113.05867</v>
      </c>
    </row>
    <row r="154" ht="14.25" customHeight="1">
      <c r="A154" s="1">
        <v>202412.0</v>
      </c>
      <c r="B154" s="1" t="s">
        <v>7</v>
      </c>
      <c r="C154" s="1" t="s">
        <v>40</v>
      </c>
      <c r="D154" s="1" t="s">
        <v>28</v>
      </c>
      <c r="E154" s="1">
        <v>59.0</v>
      </c>
      <c r="F154" s="1">
        <v>847.71284</v>
      </c>
    </row>
    <row r="155" ht="14.25" customHeight="1">
      <c r="A155" s="1">
        <v>202412.0</v>
      </c>
      <c r="B155" s="1" t="s">
        <v>7</v>
      </c>
      <c r="C155" s="1" t="s">
        <v>40</v>
      </c>
      <c r="D155" s="1" t="s">
        <v>29</v>
      </c>
      <c r="E155" s="1">
        <v>46916.0</v>
      </c>
      <c r="F155" s="1">
        <v>71484.54407</v>
      </c>
    </row>
    <row r="156" ht="14.25" customHeight="1">
      <c r="A156" s="1">
        <v>202412.0</v>
      </c>
      <c r="B156" s="1" t="s">
        <v>7</v>
      </c>
      <c r="C156" s="1" t="s">
        <v>40</v>
      </c>
      <c r="D156" s="1" t="s">
        <v>30</v>
      </c>
      <c r="E156" s="1">
        <v>5.0</v>
      </c>
      <c r="F156" s="1">
        <v>5577.662</v>
      </c>
    </row>
    <row r="157" ht="14.25" customHeight="1">
      <c r="A157" s="1">
        <v>202412.0</v>
      </c>
      <c r="B157" s="1" t="s">
        <v>7</v>
      </c>
      <c r="C157" s="1" t="s">
        <v>40</v>
      </c>
      <c r="D157" s="1" t="s">
        <v>31</v>
      </c>
      <c r="E157" s="1">
        <v>1590.0</v>
      </c>
      <c r="F157" s="1">
        <v>2939.9417</v>
      </c>
    </row>
    <row r="158" ht="14.25" customHeight="1">
      <c r="A158" s="1">
        <v>202412.0</v>
      </c>
      <c r="B158" s="1" t="s">
        <v>7</v>
      </c>
      <c r="C158" s="1" t="s">
        <v>40</v>
      </c>
      <c r="D158" s="1" t="s">
        <v>32</v>
      </c>
      <c r="E158" s="1">
        <v>28.0</v>
      </c>
      <c r="F158" s="1">
        <v>5416.72609</v>
      </c>
    </row>
    <row r="159" ht="14.25" customHeight="1">
      <c r="A159" s="1">
        <v>202412.0</v>
      </c>
      <c r="B159" s="1" t="s">
        <v>7</v>
      </c>
      <c r="C159" s="1" t="s">
        <v>40</v>
      </c>
      <c r="D159" s="1" t="s">
        <v>33</v>
      </c>
      <c r="E159" s="1">
        <v>15301.0</v>
      </c>
      <c r="F159" s="1">
        <v>109195.6688</v>
      </c>
    </row>
    <row r="160" ht="14.25" customHeight="1">
      <c r="A160" s="1">
        <v>202412.0</v>
      </c>
      <c r="B160" s="1" t="s">
        <v>7</v>
      </c>
      <c r="C160" s="1" t="s">
        <v>40</v>
      </c>
      <c r="D160" s="1" t="s">
        <v>34</v>
      </c>
      <c r="E160" s="1">
        <v>994.0</v>
      </c>
      <c r="F160" s="1">
        <v>23170.63296</v>
      </c>
    </row>
    <row r="161" ht="14.25" customHeight="1">
      <c r="A161" s="1">
        <v>202412.0</v>
      </c>
      <c r="B161" s="1" t="s">
        <v>41</v>
      </c>
      <c r="C161" s="1" t="s">
        <v>42</v>
      </c>
      <c r="D161" s="1" t="s">
        <v>9</v>
      </c>
      <c r="E161" s="1">
        <v>57.0</v>
      </c>
      <c r="F161" s="1">
        <v>1167.27647</v>
      </c>
    </row>
    <row r="162" ht="14.25" customHeight="1">
      <c r="A162" s="1">
        <v>202412.0</v>
      </c>
      <c r="B162" s="1" t="s">
        <v>41</v>
      </c>
      <c r="C162" s="1" t="s">
        <v>42</v>
      </c>
      <c r="D162" s="1" t="s">
        <v>10</v>
      </c>
      <c r="E162" s="1">
        <v>22701.0</v>
      </c>
      <c r="F162" s="1">
        <v>21294.55219</v>
      </c>
    </row>
    <row r="163" ht="14.25" customHeight="1">
      <c r="A163" s="1">
        <v>202412.0</v>
      </c>
      <c r="B163" s="1" t="s">
        <v>41</v>
      </c>
      <c r="C163" s="1" t="s">
        <v>42</v>
      </c>
      <c r="D163" s="1" t="s">
        <v>11</v>
      </c>
      <c r="E163" s="1">
        <v>18236.0</v>
      </c>
      <c r="F163" s="1">
        <v>12974.23512</v>
      </c>
    </row>
    <row r="164" ht="14.25" customHeight="1">
      <c r="A164" s="1">
        <v>202412.0</v>
      </c>
      <c r="B164" s="1" t="s">
        <v>41</v>
      </c>
      <c r="C164" s="1" t="s">
        <v>42</v>
      </c>
      <c r="D164" s="1" t="s">
        <v>12</v>
      </c>
      <c r="E164" s="1">
        <v>75.0</v>
      </c>
      <c r="F164" s="1">
        <v>1149.82399</v>
      </c>
    </row>
    <row r="165" ht="14.25" customHeight="1">
      <c r="A165" s="1">
        <v>202412.0</v>
      </c>
      <c r="B165" s="1" t="s">
        <v>41</v>
      </c>
      <c r="C165" s="1" t="s">
        <v>42</v>
      </c>
      <c r="D165" s="1" t="s">
        <v>13</v>
      </c>
      <c r="E165" s="1">
        <v>387.0</v>
      </c>
      <c r="F165" s="1">
        <v>4991.63936</v>
      </c>
    </row>
    <row r="166" ht="14.25" customHeight="1">
      <c r="A166" s="1">
        <v>202412.0</v>
      </c>
      <c r="B166" s="1" t="s">
        <v>41</v>
      </c>
      <c r="C166" s="1" t="s">
        <v>42</v>
      </c>
      <c r="D166" s="1" t="s">
        <v>14</v>
      </c>
      <c r="E166" s="1">
        <v>440.0</v>
      </c>
      <c r="F166" s="1">
        <v>4597.33993</v>
      </c>
    </row>
    <row r="167" ht="14.25" customHeight="1">
      <c r="A167" s="1">
        <v>202412.0</v>
      </c>
      <c r="B167" s="1" t="s">
        <v>41</v>
      </c>
      <c r="C167" s="1" t="s">
        <v>42</v>
      </c>
      <c r="D167" s="1" t="s">
        <v>15</v>
      </c>
      <c r="E167" s="1">
        <v>21.0</v>
      </c>
      <c r="F167" s="1">
        <v>3536.9404</v>
      </c>
    </row>
    <row r="168" ht="14.25" customHeight="1">
      <c r="A168" s="1">
        <v>202412.0</v>
      </c>
      <c r="B168" s="1" t="s">
        <v>41</v>
      </c>
      <c r="C168" s="1" t="s">
        <v>42</v>
      </c>
      <c r="D168" s="1" t="s">
        <v>16</v>
      </c>
      <c r="E168" s="1">
        <v>5067.0</v>
      </c>
      <c r="F168" s="1">
        <v>14209.35241</v>
      </c>
    </row>
    <row r="169" ht="14.25" customHeight="1">
      <c r="A169" s="1">
        <v>202412.0</v>
      </c>
      <c r="B169" s="1" t="s">
        <v>41</v>
      </c>
      <c r="C169" s="1" t="s">
        <v>42</v>
      </c>
      <c r="D169" s="1" t="s">
        <v>17</v>
      </c>
      <c r="E169" s="1">
        <v>4060.0</v>
      </c>
      <c r="F169" s="1">
        <v>10558.21906</v>
      </c>
    </row>
    <row r="170" ht="14.25" customHeight="1">
      <c r="A170" s="1">
        <v>202412.0</v>
      </c>
      <c r="B170" s="1" t="s">
        <v>41</v>
      </c>
      <c r="C170" s="1" t="s">
        <v>42</v>
      </c>
      <c r="D170" s="1" t="s">
        <v>18</v>
      </c>
      <c r="E170" s="1">
        <v>9356.0</v>
      </c>
      <c r="F170" s="1">
        <v>20577.36338</v>
      </c>
    </row>
    <row r="171" ht="14.25" customHeight="1">
      <c r="A171" s="1">
        <v>202412.0</v>
      </c>
      <c r="B171" s="1" t="s">
        <v>41</v>
      </c>
      <c r="C171" s="1" t="s">
        <v>42</v>
      </c>
      <c r="D171" s="1" t="s">
        <v>19</v>
      </c>
      <c r="E171" s="1">
        <v>62.0</v>
      </c>
      <c r="F171" s="1">
        <v>1668.92145</v>
      </c>
    </row>
    <row r="172" ht="14.25" customHeight="1">
      <c r="A172" s="1">
        <v>202412.0</v>
      </c>
      <c r="B172" s="1" t="s">
        <v>41</v>
      </c>
      <c r="C172" s="1" t="s">
        <v>42</v>
      </c>
      <c r="D172" s="1" t="s">
        <v>20</v>
      </c>
      <c r="E172" s="1">
        <v>191.0</v>
      </c>
      <c r="F172" s="1">
        <v>353.32283</v>
      </c>
    </row>
    <row r="173" ht="14.25" customHeight="1">
      <c r="A173" s="1">
        <v>202412.0</v>
      </c>
      <c r="B173" s="1" t="s">
        <v>41</v>
      </c>
      <c r="C173" s="1" t="s">
        <v>42</v>
      </c>
      <c r="D173" s="1" t="s">
        <v>21</v>
      </c>
      <c r="E173" s="1">
        <v>209.0</v>
      </c>
      <c r="F173" s="1">
        <v>4382.4316</v>
      </c>
    </row>
    <row r="174" ht="14.25" customHeight="1">
      <c r="A174" s="1">
        <v>202412.0</v>
      </c>
      <c r="B174" s="1" t="s">
        <v>41</v>
      </c>
      <c r="C174" s="1" t="s">
        <v>42</v>
      </c>
      <c r="D174" s="1" t="s">
        <v>22</v>
      </c>
      <c r="E174" s="1">
        <v>3.0</v>
      </c>
      <c r="F174" s="1">
        <v>242.14703</v>
      </c>
    </row>
    <row r="175" ht="14.25" customHeight="1">
      <c r="A175" s="1">
        <v>202412.0</v>
      </c>
      <c r="B175" s="1" t="s">
        <v>41</v>
      </c>
      <c r="C175" s="1" t="s">
        <v>42</v>
      </c>
      <c r="D175" s="1" t="s">
        <v>23</v>
      </c>
      <c r="E175" s="1">
        <v>23819.0</v>
      </c>
      <c r="F175" s="1">
        <v>25392.62686</v>
      </c>
    </row>
    <row r="176" ht="14.25" customHeight="1">
      <c r="A176" s="1">
        <v>202412.0</v>
      </c>
      <c r="B176" s="1" t="s">
        <v>41</v>
      </c>
      <c r="C176" s="1" t="s">
        <v>42</v>
      </c>
      <c r="D176" s="1" t="s">
        <v>24</v>
      </c>
      <c r="E176" s="1">
        <v>11.0</v>
      </c>
      <c r="F176" s="1">
        <v>204.14865</v>
      </c>
    </row>
    <row r="177" ht="14.25" customHeight="1">
      <c r="A177" s="1">
        <v>202412.0</v>
      </c>
      <c r="B177" s="1" t="s">
        <v>41</v>
      </c>
      <c r="C177" s="1" t="s">
        <v>42</v>
      </c>
      <c r="D177" s="1" t="s">
        <v>25</v>
      </c>
      <c r="E177" s="1">
        <v>1789.0</v>
      </c>
      <c r="F177" s="1">
        <v>7157.36888</v>
      </c>
    </row>
    <row r="178" ht="14.25" customHeight="1">
      <c r="A178" s="1">
        <v>202412.0</v>
      </c>
      <c r="B178" s="1" t="s">
        <v>41</v>
      </c>
      <c r="C178" s="1" t="s">
        <v>42</v>
      </c>
      <c r="D178" s="1" t="s">
        <v>26</v>
      </c>
      <c r="E178" s="1">
        <v>2279.0</v>
      </c>
      <c r="F178" s="1">
        <v>4424.42568</v>
      </c>
    </row>
    <row r="179" ht="14.25" customHeight="1">
      <c r="A179" s="1">
        <v>202412.0</v>
      </c>
      <c r="B179" s="1" t="s">
        <v>41</v>
      </c>
      <c r="C179" s="1" t="s">
        <v>42</v>
      </c>
      <c r="D179" s="1" t="s">
        <v>27</v>
      </c>
      <c r="E179" s="1">
        <v>12.0</v>
      </c>
      <c r="F179" s="1">
        <v>1345.2488</v>
      </c>
    </row>
    <row r="180" ht="14.25" customHeight="1">
      <c r="A180" s="1">
        <v>202412.0</v>
      </c>
      <c r="B180" s="1" t="s">
        <v>41</v>
      </c>
      <c r="C180" s="1" t="s">
        <v>42</v>
      </c>
      <c r="D180" s="1" t="s">
        <v>28</v>
      </c>
      <c r="E180" s="1">
        <v>20.0</v>
      </c>
      <c r="F180" s="1">
        <v>400.35359</v>
      </c>
    </row>
    <row r="181" ht="14.25" customHeight="1">
      <c r="A181" s="1">
        <v>202412.0</v>
      </c>
      <c r="B181" s="1" t="s">
        <v>41</v>
      </c>
      <c r="C181" s="1" t="s">
        <v>42</v>
      </c>
      <c r="D181" s="1" t="s">
        <v>29</v>
      </c>
      <c r="E181" s="1">
        <v>35482.0</v>
      </c>
      <c r="F181" s="1">
        <v>73455.03497</v>
      </c>
    </row>
    <row r="182" ht="14.25" customHeight="1">
      <c r="A182" s="1">
        <v>202412.0</v>
      </c>
      <c r="B182" s="1" t="s">
        <v>41</v>
      </c>
      <c r="C182" s="1" t="s">
        <v>42</v>
      </c>
      <c r="D182" s="1" t="s">
        <v>30</v>
      </c>
      <c r="E182" s="1">
        <v>20.0</v>
      </c>
      <c r="F182" s="1">
        <v>12126.848</v>
      </c>
    </row>
    <row r="183" ht="14.25" customHeight="1">
      <c r="A183" s="1">
        <v>202412.0</v>
      </c>
      <c r="B183" s="1" t="s">
        <v>41</v>
      </c>
      <c r="C183" s="1" t="s">
        <v>42</v>
      </c>
      <c r="D183" s="1" t="s">
        <v>31</v>
      </c>
      <c r="E183" s="1">
        <v>1236.0</v>
      </c>
      <c r="F183" s="1">
        <v>11302.92003</v>
      </c>
    </row>
    <row r="184" ht="14.25" customHeight="1">
      <c r="A184" s="1">
        <v>202412.0</v>
      </c>
      <c r="B184" s="1" t="s">
        <v>41</v>
      </c>
      <c r="C184" s="1" t="s">
        <v>42</v>
      </c>
      <c r="D184" s="1" t="s">
        <v>32</v>
      </c>
      <c r="E184" s="1">
        <v>35.0</v>
      </c>
      <c r="F184" s="1">
        <v>7183.424</v>
      </c>
    </row>
    <row r="185" ht="14.25" customHeight="1">
      <c r="A185" s="1">
        <v>202412.0</v>
      </c>
      <c r="B185" s="1" t="s">
        <v>41</v>
      </c>
      <c r="C185" s="1" t="s">
        <v>42</v>
      </c>
      <c r="D185" s="1" t="s">
        <v>33</v>
      </c>
      <c r="E185" s="1">
        <v>8469.0</v>
      </c>
      <c r="F185" s="1">
        <v>64636.52936</v>
      </c>
    </row>
    <row r="186" ht="14.25" customHeight="1">
      <c r="A186" s="1">
        <v>202412.0</v>
      </c>
      <c r="B186" s="1" t="s">
        <v>41</v>
      </c>
      <c r="C186" s="1" t="s">
        <v>42</v>
      </c>
      <c r="D186" s="1" t="s">
        <v>34</v>
      </c>
      <c r="E186" s="1">
        <v>476.0</v>
      </c>
      <c r="F186" s="1">
        <v>14737.32486</v>
      </c>
    </row>
    <row r="187" ht="14.25" customHeight="1">
      <c r="A187" s="1">
        <v>202412.0</v>
      </c>
      <c r="B187" s="1" t="s">
        <v>41</v>
      </c>
      <c r="C187" s="1" t="s">
        <v>43</v>
      </c>
      <c r="D187" s="1" t="s">
        <v>9</v>
      </c>
      <c r="E187" s="1">
        <v>58.0</v>
      </c>
      <c r="F187" s="1">
        <v>1043.8672</v>
      </c>
    </row>
    <row r="188" ht="14.25" customHeight="1">
      <c r="A188" s="1">
        <v>202412.0</v>
      </c>
      <c r="B188" s="1" t="s">
        <v>41</v>
      </c>
      <c r="C188" s="1" t="s">
        <v>43</v>
      </c>
      <c r="D188" s="1" t="s">
        <v>10</v>
      </c>
      <c r="E188" s="1">
        <v>33192.0</v>
      </c>
      <c r="F188" s="1">
        <v>25324.73402</v>
      </c>
    </row>
    <row r="189" ht="14.25" customHeight="1">
      <c r="A189" s="1">
        <v>202412.0</v>
      </c>
      <c r="B189" s="1" t="s">
        <v>41</v>
      </c>
      <c r="C189" s="1" t="s">
        <v>43</v>
      </c>
      <c r="D189" s="1" t="s">
        <v>11</v>
      </c>
      <c r="E189" s="1">
        <v>25540.0</v>
      </c>
      <c r="F189" s="1">
        <v>16696.1898</v>
      </c>
    </row>
    <row r="190" ht="14.25" customHeight="1">
      <c r="A190" s="1">
        <v>202412.0</v>
      </c>
      <c r="B190" s="1" t="s">
        <v>41</v>
      </c>
      <c r="C190" s="1" t="s">
        <v>43</v>
      </c>
      <c r="D190" s="1" t="s">
        <v>12</v>
      </c>
      <c r="E190" s="1">
        <v>98.0</v>
      </c>
      <c r="F190" s="1">
        <v>1265.82676</v>
      </c>
    </row>
    <row r="191" ht="14.25" customHeight="1">
      <c r="A191" s="1">
        <v>202412.0</v>
      </c>
      <c r="B191" s="1" t="s">
        <v>41</v>
      </c>
      <c r="C191" s="1" t="s">
        <v>43</v>
      </c>
      <c r="D191" s="1" t="s">
        <v>13</v>
      </c>
      <c r="E191" s="1">
        <v>510.0</v>
      </c>
      <c r="F191" s="1">
        <v>6345.66093</v>
      </c>
    </row>
    <row r="192" ht="14.25" customHeight="1">
      <c r="A192" s="1">
        <v>202412.0</v>
      </c>
      <c r="B192" s="1" t="s">
        <v>41</v>
      </c>
      <c r="C192" s="1" t="s">
        <v>43</v>
      </c>
      <c r="D192" s="1" t="s">
        <v>14</v>
      </c>
      <c r="E192" s="1">
        <v>684.0</v>
      </c>
      <c r="F192" s="1">
        <v>6090.5908</v>
      </c>
    </row>
    <row r="193" ht="14.25" customHeight="1">
      <c r="A193" s="1">
        <v>202412.0</v>
      </c>
      <c r="B193" s="1" t="s">
        <v>41</v>
      </c>
      <c r="C193" s="1" t="s">
        <v>43</v>
      </c>
      <c r="D193" s="1" t="s">
        <v>15</v>
      </c>
      <c r="E193" s="1">
        <v>42.0</v>
      </c>
      <c r="F193" s="1">
        <v>7373.6808</v>
      </c>
    </row>
    <row r="194" ht="14.25" customHeight="1">
      <c r="A194" s="1">
        <v>202412.0</v>
      </c>
      <c r="B194" s="1" t="s">
        <v>41</v>
      </c>
      <c r="C194" s="1" t="s">
        <v>43</v>
      </c>
      <c r="D194" s="1" t="s">
        <v>16</v>
      </c>
      <c r="E194" s="1">
        <v>9787.0</v>
      </c>
      <c r="F194" s="1">
        <v>22860.64192</v>
      </c>
    </row>
    <row r="195" ht="14.25" customHeight="1">
      <c r="A195" s="1">
        <v>202412.0</v>
      </c>
      <c r="B195" s="1" t="s">
        <v>41</v>
      </c>
      <c r="C195" s="1" t="s">
        <v>43</v>
      </c>
      <c r="D195" s="1" t="s">
        <v>17</v>
      </c>
      <c r="E195" s="1">
        <v>4079.0</v>
      </c>
      <c r="F195" s="1">
        <v>9542.52909</v>
      </c>
    </row>
    <row r="196" ht="14.25" customHeight="1">
      <c r="A196" s="1">
        <v>202412.0</v>
      </c>
      <c r="B196" s="1" t="s">
        <v>41</v>
      </c>
      <c r="C196" s="1" t="s">
        <v>43</v>
      </c>
      <c r="D196" s="1" t="s">
        <v>18</v>
      </c>
      <c r="E196" s="1">
        <v>11410.0</v>
      </c>
      <c r="F196" s="1">
        <v>19412.20198</v>
      </c>
    </row>
    <row r="197" ht="14.25" customHeight="1">
      <c r="A197" s="1">
        <v>202412.0</v>
      </c>
      <c r="B197" s="1" t="s">
        <v>41</v>
      </c>
      <c r="C197" s="1" t="s">
        <v>43</v>
      </c>
      <c r="D197" s="1" t="s">
        <v>19</v>
      </c>
      <c r="E197" s="1">
        <v>58.0</v>
      </c>
      <c r="F197" s="1">
        <v>1206.41145</v>
      </c>
    </row>
    <row r="198" ht="14.25" customHeight="1">
      <c r="A198" s="1">
        <v>202412.0</v>
      </c>
      <c r="B198" s="1" t="s">
        <v>41</v>
      </c>
      <c r="C198" s="1" t="s">
        <v>43</v>
      </c>
      <c r="D198" s="1" t="s">
        <v>20</v>
      </c>
      <c r="E198" s="1">
        <v>140.0</v>
      </c>
      <c r="F198" s="1">
        <v>347.96633</v>
      </c>
    </row>
    <row r="199" ht="14.25" customHeight="1">
      <c r="A199" s="1">
        <v>202412.0</v>
      </c>
      <c r="B199" s="1" t="s">
        <v>41</v>
      </c>
      <c r="C199" s="1" t="s">
        <v>43</v>
      </c>
      <c r="D199" s="1" t="s">
        <v>37</v>
      </c>
      <c r="E199" s="1">
        <v>1.0</v>
      </c>
      <c r="F199" s="1">
        <v>1726.2724</v>
      </c>
    </row>
    <row r="200" ht="14.25" customHeight="1">
      <c r="A200" s="1">
        <v>202412.0</v>
      </c>
      <c r="B200" s="1" t="s">
        <v>41</v>
      </c>
      <c r="C200" s="1" t="s">
        <v>43</v>
      </c>
      <c r="D200" s="1" t="s">
        <v>21</v>
      </c>
      <c r="E200" s="1">
        <v>174.0</v>
      </c>
      <c r="F200" s="1">
        <v>4205.3276</v>
      </c>
    </row>
    <row r="201" ht="14.25" customHeight="1">
      <c r="A201" s="1">
        <v>202412.0</v>
      </c>
      <c r="B201" s="1" t="s">
        <v>41</v>
      </c>
      <c r="C201" s="1" t="s">
        <v>43</v>
      </c>
      <c r="D201" s="1" t="s">
        <v>22</v>
      </c>
      <c r="E201" s="1">
        <v>2.0</v>
      </c>
      <c r="F201" s="1">
        <v>99.92332</v>
      </c>
    </row>
    <row r="202" ht="14.25" customHeight="1">
      <c r="A202" s="1">
        <v>202412.0</v>
      </c>
      <c r="B202" s="1" t="s">
        <v>41</v>
      </c>
      <c r="C202" s="1" t="s">
        <v>43</v>
      </c>
      <c r="D202" s="1" t="s">
        <v>23</v>
      </c>
      <c r="E202" s="1">
        <v>27842.0</v>
      </c>
      <c r="F202" s="1">
        <v>24097.3277</v>
      </c>
    </row>
    <row r="203" ht="14.25" customHeight="1">
      <c r="A203" s="1">
        <v>202412.0</v>
      </c>
      <c r="B203" s="1" t="s">
        <v>41</v>
      </c>
      <c r="C203" s="1" t="s">
        <v>43</v>
      </c>
      <c r="D203" s="1" t="s">
        <v>24</v>
      </c>
      <c r="E203" s="1">
        <v>17.0</v>
      </c>
      <c r="F203" s="1">
        <v>250.08608</v>
      </c>
    </row>
    <row r="204" ht="14.25" customHeight="1">
      <c r="A204" s="1">
        <v>202412.0</v>
      </c>
      <c r="B204" s="1" t="s">
        <v>41</v>
      </c>
      <c r="C204" s="1" t="s">
        <v>43</v>
      </c>
      <c r="D204" s="1" t="s">
        <v>25</v>
      </c>
      <c r="E204" s="1">
        <v>1940.0</v>
      </c>
      <c r="F204" s="1">
        <v>5909.59642</v>
      </c>
    </row>
    <row r="205" ht="14.25" customHeight="1">
      <c r="A205" s="1">
        <v>202412.0</v>
      </c>
      <c r="B205" s="1" t="s">
        <v>41</v>
      </c>
      <c r="C205" s="1" t="s">
        <v>43</v>
      </c>
      <c r="D205" s="1" t="s">
        <v>26</v>
      </c>
      <c r="E205" s="1">
        <v>2833.0</v>
      </c>
      <c r="F205" s="1">
        <v>4692.01844</v>
      </c>
    </row>
    <row r="206" ht="14.25" customHeight="1">
      <c r="A206" s="1">
        <v>202412.0</v>
      </c>
      <c r="B206" s="1" t="s">
        <v>41</v>
      </c>
      <c r="C206" s="1" t="s">
        <v>43</v>
      </c>
      <c r="D206" s="1" t="s">
        <v>27</v>
      </c>
      <c r="E206" s="1">
        <v>9.0</v>
      </c>
      <c r="F206" s="1">
        <v>1375.96561</v>
      </c>
    </row>
    <row r="207" ht="14.25" customHeight="1">
      <c r="A207" s="1">
        <v>202412.0</v>
      </c>
      <c r="B207" s="1" t="s">
        <v>41</v>
      </c>
      <c r="C207" s="1" t="s">
        <v>43</v>
      </c>
      <c r="D207" s="1" t="s">
        <v>28</v>
      </c>
      <c r="E207" s="1">
        <v>27.0</v>
      </c>
      <c r="F207" s="1">
        <v>398.94643</v>
      </c>
    </row>
    <row r="208" ht="14.25" customHeight="1">
      <c r="A208" s="1">
        <v>202412.0</v>
      </c>
      <c r="B208" s="1" t="s">
        <v>41</v>
      </c>
      <c r="C208" s="1" t="s">
        <v>43</v>
      </c>
      <c r="D208" s="1" t="s">
        <v>29</v>
      </c>
      <c r="E208" s="1">
        <v>47793.0</v>
      </c>
      <c r="F208" s="1">
        <v>80877.19065</v>
      </c>
    </row>
    <row r="209" ht="14.25" customHeight="1">
      <c r="A209" s="1">
        <v>202412.0</v>
      </c>
      <c r="B209" s="1" t="s">
        <v>41</v>
      </c>
      <c r="C209" s="1" t="s">
        <v>43</v>
      </c>
      <c r="D209" s="1" t="s">
        <v>30</v>
      </c>
      <c r="E209" s="1">
        <v>4.0</v>
      </c>
      <c r="F209" s="1">
        <v>3880.0496</v>
      </c>
    </row>
    <row r="210" ht="14.25" customHeight="1">
      <c r="A210" s="1">
        <v>202412.0</v>
      </c>
      <c r="B210" s="1" t="s">
        <v>41</v>
      </c>
      <c r="C210" s="1" t="s">
        <v>43</v>
      </c>
      <c r="D210" s="1" t="s">
        <v>31</v>
      </c>
      <c r="E210" s="1">
        <v>1226.0</v>
      </c>
      <c r="F210" s="1">
        <v>5921.81915</v>
      </c>
    </row>
    <row r="211" ht="14.25" customHeight="1">
      <c r="A211" s="1">
        <v>202412.0</v>
      </c>
      <c r="B211" s="1" t="s">
        <v>41</v>
      </c>
      <c r="C211" s="1" t="s">
        <v>43</v>
      </c>
      <c r="D211" s="1" t="s">
        <v>32</v>
      </c>
      <c r="E211" s="1">
        <v>66.0</v>
      </c>
      <c r="F211" s="1">
        <v>18030.1284</v>
      </c>
    </row>
    <row r="212" ht="14.25" customHeight="1">
      <c r="A212" s="1">
        <v>202412.0</v>
      </c>
      <c r="B212" s="1" t="s">
        <v>41</v>
      </c>
      <c r="C212" s="1" t="s">
        <v>43</v>
      </c>
      <c r="D212" s="1" t="s">
        <v>33</v>
      </c>
      <c r="E212" s="1">
        <v>10776.0</v>
      </c>
      <c r="F212" s="1">
        <v>76078.00852</v>
      </c>
    </row>
    <row r="213" ht="14.25" customHeight="1">
      <c r="A213" s="1">
        <v>202412.0</v>
      </c>
      <c r="B213" s="1" t="s">
        <v>41</v>
      </c>
      <c r="C213" s="1" t="s">
        <v>43</v>
      </c>
      <c r="D213" s="1" t="s">
        <v>34</v>
      </c>
      <c r="E213" s="1">
        <v>584.0</v>
      </c>
      <c r="F213" s="1">
        <v>14326.16519</v>
      </c>
    </row>
    <row r="214" ht="14.25" customHeight="1">
      <c r="A214" s="1">
        <v>202412.0</v>
      </c>
      <c r="B214" s="1" t="s">
        <v>41</v>
      </c>
      <c r="C214" s="1" t="s">
        <v>44</v>
      </c>
      <c r="D214" s="1" t="s">
        <v>9</v>
      </c>
      <c r="E214" s="1">
        <v>172.0</v>
      </c>
      <c r="F214" s="1">
        <v>2089.36738</v>
      </c>
    </row>
    <row r="215" ht="14.25" customHeight="1">
      <c r="A215" s="1">
        <v>202412.0</v>
      </c>
      <c r="B215" s="1" t="s">
        <v>41</v>
      </c>
      <c r="C215" s="1" t="s">
        <v>44</v>
      </c>
      <c r="D215" s="1" t="s">
        <v>10</v>
      </c>
      <c r="E215" s="1">
        <v>25670.0</v>
      </c>
      <c r="F215" s="1">
        <v>21685.79459</v>
      </c>
    </row>
    <row r="216" ht="14.25" customHeight="1">
      <c r="A216" s="1">
        <v>202412.0</v>
      </c>
      <c r="B216" s="1" t="s">
        <v>41</v>
      </c>
      <c r="C216" s="1" t="s">
        <v>44</v>
      </c>
      <c r="D216" s="1" t="s">
        <v>11</v>
      </c>
      <c r="E216" s="1">
        <v>19412.0</v>
      </c>
      <c r="F216" s="1">
        <v>13316.42533</v>
      </c>
    </row>
    <row r="217" ht="14.25" customHeight="1">
      <c r="A217" s="1">
        <v>202412.0</v>
      </c>
      <c r="B217" s="1" t="s">
        <v>41</v>
      </c>
      <c r="C217" s="1" t="s">
        <v>44</v>
      </c>
      <c r="D217" s="1" t="s">
        <v>12</v>
      </c>
      <c r="E217" s="1">
        <v>74.0</v>
      </c>
      <c r="F217" s="1">
        <v>945.41423</v>
      </c>
    </row>
    <row r="218" ht="14.25" customHeight="1">
      <c r="A218" s="1">
        <v>202412.0</v>
      </c>
      <c r="B218" s="1" t="s">
        <v>41</v>
      </c>
      <c r="C218" s="1" t="s">
        <v>44</v>
      </c>
      <c r="D218" s="1" t="s">
        <v>13</v>
      </c>
      <c r="E218" s="1">
        <v>399.0</v>
      </c>
      <c r="F218" s="1">
        <v>5206.00666</v>
      </c>
    </row>
    <row r="219" ht="14.25" customHeight="1">
      <c r="A219" s="1">
        <v>202412.0</v>
      </c>
      <c r="B219" s="1" t="s">
        <v>41</v>
      </c>
      <c r="C219" s="1" t="s">
        <v>44</v>
      </c>
      <c r="D219" s="1" t="s">
        <v>14</v>
      </c>
      <c r="E219" s="1">
        <v>528.0</v>
      </c>
      <c r="F219" s="1">
        <v>3926.43561</v>
      </c>
    </row>
    <row r="220" ht="14.25" customHeight="1">
      <c r="A220" s="1">
        <v>202412.0</v>
      </c>
      <c r="B220" s="1" t="s">
        <v>41</v>
      </c>
      <c r="C220" s="1" t="s">
        <v>44</v>
      </c>
      <c r="D220" s="1" t="s">
        <v>15</v>
      </c>
      <c r="E220" s="1">
        <v>39.0</v>
      </c>
      <c r="F220" s="1">
        <v>3459.1036</v>
      </c>
    </row>
    <row r="221" ht="14.25" customHeight="1">
      <c r="A221" s="1">
        <v>202412.0</v>
      </c>
      <c r="B221" s="1" t="s">
        <v>41</v>
      </c>
      <c r="C221" s="1" t="s">
        <v>44</v>
      </c>
      <c r="D221" s="1" t="s">
        <v>16</v>
      </c>
      <c r="E221" s="1">
        <v>7863.0</v>
      </c>
      <c r="F221" s="1">
        <v>18124.801</v>
      </c>
    </row>
    <row r="222" ht="14.25" customHeight="1">
      <c r="A222" s="1">
        <v>202412.0</v>
      </c>
      <c r="B222" s="1" t="s">
        <v>41</v>
      </c>
      <c r="C222" s="1" t="s">
        <v>44</v>
      </c>
      <c r="D222" s="1" t="s">
        <v>17</v>
      </c>
      <c r="E222" s="1">
        <v>4168.0</v>
      </c>
      <c r="F222" s="1">
        <v>10396.15311</v>
      </c>
    </row>
    <row r="223" ht="14.25" customHeight="1">
      <c r="A223" s="1">
        <v>202412.0</v>
      </c>
      <c r="B223" s="1" t="s">
        <v>41</v>
      </c>
      <c r="C223" s="1" t="s">
        <v>44</v>
      </c>
      <c r="D223" s="1" t="s">
        <v>18</v>
      </c>
      <c r="E223" s="1">
        <v>11399.0</v>
      </c>
      <c r="F223" s="1">
        <v>18953.33144</v>
      </c>
    </row>
    <row r="224" ht="14.25" customHeight="1">
      <c r="A224" s="1">
        <v>202412.0</v>
      </c>
      <c r="B224" s="1" t="s">
        <v>41</v>
      </c>
      <c r="C224" s="1" t="s">
        <v>44</v>
      </c>
      <c r="D224" s="1" t="s">
        <v>19</v>
      </c>
      <c r="E224" s="1">
        <v>74.0</v>
      </c>
      <c r="F224" s="1">
        <v>1522.69733</v>
      </c>
    </row>
    <row r="225" ht="14.25" customHeight="1">
      <c r="A225" s="1">
        <v>202412.0</v>
      </c>
      <c r="B225" s="1" t="s">
        <v>41</v>
      </c>
      <c r="C225" s="1" t="s">
        <v>44</v>
      </c>
      <c r="D225" s="1" t="s">
        <v>20</v>
      </c>
      <c r="E225" s="1">
        <v>200.0</v>
      </c>
      <c r="F225" s="1">
        <v>462.87256</v>
      </c>
    </row>
    <row r="226" ht="14.25" customHeight="1">
      <c r="A226" s="1">
        <v>202412.0</v>
      </c>
      <c r="B226" s="1" t="s">
        <v>41</v>
      </c>
      <c r="C226" s="1" t="s">
        <v>44</v>
      </c>
      <c r="D226" s="1" t="s">
        <v>37</v>
      </c>
      <c r="E226" s="1">
        <v>8.0</v>
      </c>
      <c r="F226" s="1">
        <v>3252.8692</v>
      </c>
    </row>
    <row r="227" ht="14.25" customHeight="1">
      <c r="A227" s="1">
        <v>202412.0</v>
      </c>
      <c r="B227" s="1" t="s">
        <v>41</v>
      </c>
      <c r="C227" s="1" t="s">
        <v>44</v>
      </c>
      <c r="D227" s="1" t="s">
        <v>21</v>
      </c>
      <c r="E227" s="1">
        <v>318.0</v>
      </c>
      <c r="F227" s="1">
        <v>6051.2032</v>
      </c>
    </row>
    <row r="228" ht="14.25" customHeight="1">
      <c r="A228" s="1">
        <v>202412.0</v>
      </c>
      <c r="B228" s="1" t="s">
        <v>41</v>
      </c>
      <c r="C228" s="1" t="s">
        <v>44</v>
      </c>
      <c r="D228" s="1" t="s">
        <v>22</v>
      </c>
      <c r="E228" s="1">
        <v>13.0</v>
      </c>
      <c r="F228" s="1">
        <v>434.91402</v>
      </c>
    </row>
    <row r="229" ht="14.25" customHeight="1">
      <c r="A229" s="1">
        <v>202412.0</v>
      </c>
      <c r="B229" s="1" t="s">
        <v>41</v>
      </c>
      <c r="C229" s="1" t="s">
        <v>44</v>
      </c>
      <c r="D229" s="1" t="s">
        <v>23</v>
      </c>
      <c r="E229" s="1">
        <v>30426.0</v>
      </c>
      <c r="F229" s="1">
        <v>26946.99386</v>
      </c>
    </row>
    <row r="230" ht="14.25" customHeight="1">
      <c r="A230" s="1">
        <v>202412.0</v>
      </c>
      <c r="B230" s="1" t="s">
        <v>41</v>
      </c>
      <c r="C230" s="1" t="s">
        <v>44</v>
      </c>
      <c r="D230" s="1" t="s">
        <v>24</v>
      </c>
      <c r="E230" s="1">
        <v>17.0</v>
      </c>
      <c r="F230" s="1">
        <v>402.93686</v>
      </c>
    </row>
    <row r="231" ht="14.25" customHeight="1">
      <c r="A231" s="1">
        <v>202412.0</v>
      </c>
      <c r="B231" s="1" t="s">
        <v>41</v>
      </c>
      <c r="C231" s="1" t="s">
        <v>44</v>
      </c>
      <c r="D231" s="1" t="s">
        <v>25</v>
      </c>
      <c r="E231" s="1">
        <v>2968.0</v>
      </c>
      <c r="F231" s="1">
        <v>8405.93005</v>
      </c>
    </row>
    <row r="232" ht="14.25" customHeight="1">
      <c r="A232" s="1">
        <v>202412.0</v>
      </c>
      <c r="B232" s="1" t="s">
        <v>41</v>
      </c>
      <c r="C232" s="1" t="s">
        <v>44</v>
      </c>
      <c r="D232" s="1" t="s">
        <v>26</v>
      </c>
      <c r="E232" s="1">
        <v>2887.0</v>
      </c>
      <c r="F232" s="1">
        <v>5181.52283</v>
      </c>
    </row>
    <row r="233" ht="14.25" customHeight="1">
      <c r="A233" s="1">
        <v>202412.0</v>
      </c>
      <c r="B233" s="1" t="s">
        <v>41</v>
      </c>
      <c r="C233" s="1" t="s">
        <v>44</v>
      </c>
      <c r="D233" s="1" t="s">
        <v>27</v>
      </c>
      <c r="E233" s="1">
        <v>10.0</v>
      </c>
      <c r="F233" s="1">
        <v>1591.724</v>
      </c>
    </row>
    <row r="234" ht="14.25" customHeight="1">
      <c r="A234" s="1">
        <v>202412.0</v>
      </c>
      <c r="B234" s="1" t="s">
        <v>41</v>
      </c>
      <c r="C234" s="1" t="s">
        <v>44</v>
      </c>
      <c r="D234" s="1" t="s">
        <v>28</v>
      </c>
      <c r="E234" s="1">
        <v>33.0</v>
      </c>
      <c r="F234" s="1">
        <v>617.79842</v>
      </c>
    </row>
    <row r="235" ht="14.25" customHeight="1">
      <c r="A235" s="1">
        <v>202412.0</v>
      </c>
      <c r="B235" s="1" t="s">
        <v>41</v>
      </c>
      <c r="C235" s="1" t="s">
        <v>44</v>
      </c>
      <c r="D235" s="1" t="s">
        <v>29</v>
      </c>
      <c r="E235" s="1">
        <v>48241.0</v>
      </c>
      <c r="F235" s="1">
        <v>77688.10866</v>
      </c>
    </row>
    <row r="236" ht="14.25" customHeight="1">
      <c r="A236" s="1">
        <v>202412.0</v>
      </c>
      <c r="B236" s="1" t="s">
        <v>41</v>
      </c>
      <c r="C236" s="1" t="s">
        <v>44</v>
      </c>
      <c r="D236" s="1" t="s">
        <v>30</v>
      </c>
      <c r="E236" s="1">
        <v>8.0</v>
      </c>
      <c r="F236" s="1">
        <v>16975.0992</v>
      </c>
    </row>
    <row r="237" ht="14.25" customHeight="1">
      <c r="A237" s="1">
        <v>202412.0</v>
      </c>
      <c r="B237" s="1" t="s">
        <v>41</v>
      </c>
      <c r="C237" s="1" t="s">
        <v>44</v>
      </c>
      <c r="D237" s="1" t="s">
        <v>31</v>
      </c>
      <c r="E237" s="1">
        <v>1630.0</v>
      </c>
      <c r="F237" s="1">
        <v>4093.7764</v>
      </c>
    </row>
    <row r="238" ht="14.25" customHeight="1">
      <c r="A238" s="1">
        <v>202412.0</v>
      </c>
      <c r="B238" s="1" t="s">
        <v>41</v>
      </c>
      <c r="C238" s="1" t="s">
        <v>44</v>
      </c>
      <c r="D238" s="1" t="s">
        <v>32</v>
      </c>
      <c r="E238" s="1">
        <v>32.0</v>
      </c>
      <c r="F238" s="1">
        <v>10582.4468</v>
      </c>
    </row>
    <row r="239" ht="14.25" customHeight="1">
      <c r="A239" s="1">
        <v>202412.0</v>
      </c>
      <c r="B239" s="1" t="s">
        <v>41</v>
      </c>
      <c r="C239" s="1" t="s">
        <v>44</v>
      </c>
      <c r="D239" s="1" t="s">
        <v>33</v>
      </c>
      <c r="E239" s="1">
        <v>10912.0</v>
      </c>
      <c r="F239" s="1">
        <v>69049.33465</v>
      </c>
    </row>
    <row r="240" ht="14.25" customHeight="1">
      <c r="A240" s="1">
        <v>202412.0</v>
      </c>
      <c r="B240" s="1" t="s">
        <v>41</v>
      </c>
      <c r="C240" s="1" t="s">
        <v>44</v>
      </c>
      <c r="D240" s="1" t="s">
        <v>34</v>
      </c>
      <c r="E240" s="1">
        <v>934.0</v>
      </c>
      <c r="F240" s="1">
        <v>22282.39486</v>
      </c>
    </row>
    <row r="241" ht="14.25" customHeight="1">
      <c r="A241" s="1">
        <v>202412.0</v>
      </c>
      <c r="B241" s="1" t="s">
        <v>41</v>
      </c>
      <c r="C241" s="1" t="s">
        <v>45</v>
      </c>
      <c r="D241" s="1" t="s">
        <v>9</v>
      </c>
      <c r="E241" s="1">
        <v>91.0</v>
      </c>
      <c r="F241" s="1">
        <v>1314.35529</v>
      </c>
    </row>
    <row r="242" ht="14.25" customHeight="1">
      <c r="A242" s="1">
        <v>202412.0</v>
      </c>
      <c r="B242" s="1" t="s">
        <v>41</v>
      </c>
      <c r="C242" s="1" t="s">
        <v>45</v>
      </c>
      <c r="D242" s="1" t="s">
        <v>10</v>
      </c>
      <c r="E242" s="1">
        <v>23820.0</v>
      </c>
      <c r="F242" s="1">
        <v>23321.96659</v>
      </c>
    </row>
    <row r="243" ht="14.25" customHeight="1">
      <c r="A243" s="1">
        <v>202412.0</v>
      </c>
      <c r="B243" s="1" t="s">
        <v>41</v>
      </c>
      <c r="C243" s="1" t="s">
        <v>45</v>
      </c>
      <c r="D243" s="1" t="s">
        <v>11</v>
      </c>
      <c r="E243" s="1">
        <v>20776.0</v>
      </c>
      <c r="F243" s="1">
        <v>16561.11051</v>
      </c>
    </row>
    <row r="244" ht="14.25" customHeight="1">
      <c r="A244" s="1">
        <v>202412.0</v>
      </c>
      <c r="B244" s="1" t="s">
        <v>41</v>
      </c>
      <c r="C244" s="1" t="s">
        <v>45</v>
      </c>
      <c r="D244" s="1" t="s">
        <v>12</v>
      </c>
      <c r="E244" s="1">
        <v>85.0</v>
      </c>
      <c r="F244" s="1">
        <v>1115.41995</v>
      </c>
    </row>
    <row r="245" ht="14.25" customHeight="1">
      <c r="A245" s="1">
        <v>202412.0</v>
      </c>
      <c r="B245" s="1" t="s">
        <v>41</v>
      </c>
      <c r="C245" s="1" t="s">
        <v>45</v>
      </c>
      <c r="D245" s="1" t="s">
        <v>13</v>
      </c>
      <c r="E245" s="1">
        <v>371.0</v>
      </c>
      <c r="F245" s="1">
        <v>5456.04671</v>
      </c>
    </row>
    <row r="246" ht="14.25" customHeight="1">
      <c r="A246" s="1">
        <v>202412.0</v>
      </c>
      <c r="B246" s="1" t="s">
        <v>41</v>
      </c>
      <c r="C246" s="1" t="s">
        <v>45</v>
      </c>
      <c r="D246" s="1" t="s">
        <v>14</v>
      </c>
      <c r="E246" s="1">
        <v>386.0</v>
      </c>
      <c r="F246" s="1">
        <v>4470.5379</v>
      </c>
    </row>
    <row r="247" ht="14.25" customHeight="1">
      <c r="A247" s="1">
        <v>202412.0</v>
      </c>
      <c r="B247" s="1" t="s">
        <v>41</v>
      </c>
      <c r="C247" s="1" t="s">
        <v>45</v>
      </c>
      <c r="D247" s="1" t="s">
        <v>15</v>
      </c>
      <c r="E247" s="1">
        <v>17.0</v>
      </c>
      <c r="F247" s="1">
        <v>3804.2308</v>
      </c>
    </row>
    <row r="248" ht="14.25" customHeight="1">
      <c r="A248" s="1">
        <v>202412.0</v>
      </c>
      <c r="B248" s="1" t="s">
        <v>41</v>
      </c>
      <c r="C248" s="1" t="s">
        <v>45</v>
      </c>
      <c r="D248" s="1" t="s">
        <v>16</v>
      </c>
      <c r="E248" s="1">
        <v>5799.0</v>
      </c>
      <c r="F248" s="1">
        <v>17191.0494</v>
      </c>
    </row>
    <row r="249" ht="14.25" customHeight="1">
      <c r="A249" s="1">
        <v>202412.0</v>
      </c>
      <c r="B249" s="1" t="s">
        <v>41</v>
      </c>
      <c r="C249" s="1" t="s">
        <v>45</v>
      </c>
      <c r="D249" s="1" t="s">
        <v>17</v>
      </c>
      <c r="E249" s="1">
        <v>4556.0</v>
      </c>
      <c r="F249" s="1">
        <v>11475.94909</v>
      </c>
    </row>
    <row r="250" ht="14.25" customHeight="1">
      <c r="A250" s="1">
        <v>202412.0</v>
      </c>
      <c r="B250" s="1" t="s">
        <v>41</v>
      </c>
      <c r="C250" s="1" t="s">
        <v>45</v>
      </c>
      <c r="D250" s="1" t="s">
        <v>18</v>
      </c>
      <c r="E250" s="1">
        <v>10716.0</v>
      </c>
      <c r="F250" s="1">
        <v>21650.73775</v>
      </c>
    </row>
    <row r="251" ht="14.25" customHeight="1">
      <c r="A251" s="1">
        <v>202412.0</v>
      </c>
      <c r="B251" s="1" t="s">
        <v>41</v>
      </c>
      <c r="C251" s="1" t="s">
        <v>45</v>
      </c>
      <c r="D251" s="1" t="s">
        <v>19</v>
      </c>
      <c r="E251" s="1">
        <v>50.0</v>
      </c>
      <c r="F251" s="1">
        <v>995.29556</v>
      </c>
    </row>
    <row r="252" ht="14.25" customHeight="1">
      <c r="A252" s="1">
        <v>202412.0</v>
      </c>
      <c r="B252" s="1" t="s">
        <v>41</v>
      </c>
      <c r="C252" s="1" t="s">
        <v>45</v>
      </c>
      <c r="D252" s="1" t="s">
        <v>20</v>
      </c>
      <c r="E252" s="1">
        <v>158.0</v>
      </c>
      <c r="F252" s="1">
        <v>518.28277</v>
      </c>
    </row>
    <row r="253" ht="14.25" customHeight="1">
      <c r="A253" s="1">
        <v>202412.0</v>
      </c>
      <c r="B253" s="1" t="s">
        <v>41</v>
      </c>
      <c r="C253" s="1" t="s">
        <v>45</v>
      </c>
      <c r="D253" s="1" t="s">
        <v>37</v>
      </c>
      <c r="E253" s="1">
        <v>9.0</v>
      </c>
      <c r="F253" s="1">
        <v>1151.7716</v>
      </c>
    </row>
    <row r="254" ht="14.25" customHeight="1">
      <c r="A254" s="1">
        <v>202412.0</v>
      </c>
      <c r="B254" s="1" t="s">
        <v>41</v>
      </c>
      <c r="C254" s="1" t="s">
        <v>45</v>
      </c>
      <c r="D254" s="1" t="s">
        <v>21</v>
      </c>
      <c r="E254" s="1">
        <v>145.0</v>
      </c>
      <c r="F254" s="1">
        <v>4262.898</v>
      </c>
    </row>
    <row r="255" ht="14.25" customHeight="1">
      <c r="A255" s="1">
        <v>202412.0</v>
      </c>
      <c r="B255" s="1" t="s">
        <v>41</v>
      </c>
      <c r="C255" s="1" t="s">
        <v>45</v>
      </c>
      <c r="D255" s="1" t="s">
        <v>22</v>
      </c>
      <c r="E255" s="1">
        <v>1.0</v>
      </c>
      <c r="F255" s="1">
        <v>361.2724</v>
      </c>
    </row>
    <row r="256" ht="14.25" customHeight="1">
      <c r="A256" s="1">
        <v>202412.0</v>
      </c>
      <c r="B256" s="1" t="s">
        <v>41</v>
      </c>
      <c r="C256" s="1" t="s">
        <v>45</v>
      </c>
      <c r="D256" s="1" t="s">
        <v>23</v>
      </c>
      <c r="E256" s="1">
        <v>22285.0</v>
      </c>
      <c r="F256" s="1">
        <v>21143.56728</v>
      </c>
    </row>
    <row r="257" ht="14.25" customHeight="1">
      <c r="A257" s="1">
        <v>202412.0</v>
      </c>
      <c r="B257" s="1" t="s">
        <v>41</v>
      </c>
      <c r="C257" s="1" t="s">
        <v>45</v>
      </c>
      <c r="D257" s="1" t="s">
        <v>24</v>
      </c>
      <c r="E257" s="1">
        <v>13.0</v>
      </c>
      <c r="F257" s="1">
        <v>310.52878</v>
      </c>
    </row>
    <row r="258" ht="14.25" customHeight="1">
      <c r="A258" s="1">
        <v>202412.0</v>
      </c>
      <c r="B258" s="1" t="s">
        <v>41</v>
      </c>
      <c r="C258" s="1" t="s">
        <v>45</v>
      </c>
      <c r="D258" s="1" t="s">
        <v>25</v>
      </c>
      <c r="E258" s="1">
        <v>2177.0</v>
      </c>
      <c r="F258" s="1">
        <v>7458.91898</v>
      </c>
    </row>
    <row r="259" ht="14.25" customHeight="1">
      <c r="A259" s="1">
        <v>202412.0</v>
      </c>
      <c r="B259" s="1" t="s">
        <v>41</v>
      </c>
      <c r="C259" s="1" t="s">
        <v>45</v>
      </c>
      <c r="D259" s="1" t="s">
        <v>26</v>
      </c>
      <c r="E259" s="1">
        <v>2153.0</v>
      </c>
      <c r="F259" s="1">
        <v>4774.61308</v>
      </c>
    </row>
    <row r="260" ht="14.25" customHeight="1">
      <c r="A260" s="1">
        <v>202412.0</v>
      </c>
      <c r="B260" s="1" t="s">
        <v>41</v>
      </c>
      <c r="C260" s="1" t="s">
        <v>45</v>
      </c>
      <c r="D260" s="1" t="s">
        <v>27</v>
      </c>
      <c r="E260" s="1">
        <v>5.0</v>
      </c>
      <c r="F260" s="1">
        <v>1233.962</v>
      </c>
    </row>
    <row r="261" ht="14.25" customHeight="1">
      <c r="A261" s="1">
        <v>202412.0</v>
      </c>
      <c r="B261" s="1" t="s">
        <v>41</v>
      </c>
      <c r="C261" s="1" t="s">
        <v>45</v>
      </c>
      <c r="D261" s="1" t="s">
        <v>28</v>
      </c>
      <c r="E261" s="1">
        <v>17.0</v>
      </c>
      <c r="F261" s="1">
        <v>268.07336</v>
      </c>
    </row>
    <row r="262" ht="14.25" customHeight="1">
      <c r="A262" s="1">
        <v>202412.0</v>
      </c>
      <c r="B262" s="1" t="s">
        <v>41</v>
      </c>
      <c r="C262" s="1" t="s">
        <v>45</v>
      </c>
      <c r="D262" s="1" t="s">
        <v>29</v>
      </c>
      <c r="E262" s="1">
        <v>38893.0</v>
      </c>
      <c r="F262" s="1">
        <v>80338.24807</v>
      </c>
    </row>
    <row r="263" ht="14.25" customHeight="1">
      <c r="A263" s="1">
        <v>202412.0</v>
      </c>
      <c r="B263" s="1" t="s">
        <v>41</v>
      </c>
      <c r="C263" s="1" t="s">
        <v>45</v>
      </c>
      <c r="D263" s="1" t="s">
        <v>30</v>
      </c>
      <c r="E263" s="1">
        <v>4.0</v>
      </c>
      <c r="F263" s="1">
        <v>3880.0496</v>
      </c>
    </row>
    <row r="264" ht="14.25" customHeight="1">
      <c r="A264" s="1">
        <v>202412.0</v>
      </c>
      <c r="B264" s="1" t="s">
        <v>41</v>
      </c>
      <c r="C264" s="1" t="s">
        <v>45</v>
      </c>
      <c r="D264" s="1" t="s">
        <v>31</v>
      </c>
      <c r="E264" s="1">
        <v>1075.0</v>
      </c>
      <c r="F264" s="1">
        <v>2142.53175</v>
      </c>
    </row>
    <row r="265" ht="14.25" customHeight="1">
      <c r="A265" s="1">
        <v>202412.0</v>
      </c>
      <c r="B265" s="1" t="s">
        <v>41</v>
      </c>
      <c r="C265" s="1" t="s">
        <v>45</v>
      </c>
      <c r="D265" s="1" t="s">
        <v>32</v>
      </c>
      <c r="E265" s="1">
        <v>38.0</v>
      </c>
      <c r="F265" s="1">
        <v>11874.0512</v>
      </c>
    </row>
    <row r="266" ht="14.25" customHeight="1">
      <c r="A266" s="1">
        <v>202412.0</v>
      </c>
      <c r="B266" s="1" t="s">
        <v>41</v>
      </c>
      <c r="C266" s="1" t="s">
        <v>45</v>
      </c>
      <c r="D266" s="1" t="s">
        <v>33</v>
      </c>
      <c r="E266" s="1">
        <v>8904.0</v>
      </c>
      <c r="F266" s="1">
        <v>64439.7232</v>
      </c>
    </row>
    <row r="267" ht="14.25" customHeight="1">
      <c r="A267" s="1">
        <v>202412.0</v>
      </c>
      <c r="B267" s="1" t="s">
        <v>41</v>
      </c>
      <c r="C267" s="1" t="s">
        <v>45</v>
      </c>
      <c r="D267" s="1" t="s">
        <v>34</v>
      </c>
      <c r="E267" s="1">
        <v>954.0</v>
      </c>
      <c r="F267" s="1">
        <v>26929.02857</v>
      </c>
    </row>
    <row r="268" ht="14.25" customHeight="1">
      <c r="A268" s="1">
        <v>202412.0</v>
      </c>
      <c r="B268" s="1" t="s">
        <v>41</v>
      </c>
      <c r="C268" s="1" t="s">
        <v>46</v>
      </c>
      <c r="D268" s="1" t="s">
        <v>9</v>
      </c>
      <c r="E268" s="1">
        <v>43.0</v>
      </c>
      <c r="F268" s="1">
        <v>1105.58466</v>
      </c>
    </row>
    <row r="269" ht="14.25" customHeight="1">
      <c r="A269" s="1">
        <v>202412.0</v>
      </c>
      <c r="B269" s="1" t="s">
        <v>41</v>
      </c>
      <c r="C269" s="1" t="s">
        <v>46</v>
      </c>
      <c r="D269" s="1" t="s">
        <v>10</v>
      </c>
      <c r="E269" s="1">
        <v>19931.0</v>
      </c>
      <c r="F269" s="1">
        <v>17965.70755</v>
      </c>
    </row>
    <row r="270" ht="14.25" customHeight="1">
      <c r="A270" s="1">
        <v>202412.0</v>
      </c>
      <c r="B270" s="1" t="s">
        <v>41</v>
      </c>
      <c r="C270" s="1" t="s">
        <v>46</v>
      </c>
      <c r="D270" s="1" t="s">
        <v>11</v>
      </c>
      <c r="E270" s="1">
        <v>19554.0</v>
      </c>
      <c r="F270" s="1">
        <v>13719.71255</v>
      </c>
    </row>
    <row r="271" ht="14.25" customHeight="1">
      <c r="A271" s="1">
        <v>202412.0</v>
      </c>
      <c r="B271" s="1" t="s">
        <v>41</v>
      </c>
      <c r="C271" s="1" t="s">
        <v>46</v>
      </c>
      <c r="D271" s="1" t="s">
        <v>12</v>
      </c>
      <c r="E271" s="1">
        <v>68.0</v>
      </c>
      <c r="F271" s="1">
        <v>853.02149</v>
      </c>
    </row>
    <row r="272" ht="14.25" customHeight="1">
      <c r="A272" s="1">
        <v>202412.0</v>
      </c>
      <c r="B272" s="1" t="s">
        <v>41</v>
      </c>
      <c r="C272" s="1" t="s">
        <v>46</v>
      </c>
      <c r="D272" s="1" t="s">
        <v>13</v>
      </c>
      <c r="E272" s="1">
        <v>362.0</v>
      </c>
      <c r="F272" s="1">
        <v>4319.69534</v>
      </c>
    </row>
    <row r="273" ht="14.25" customHeight="1">
      <c r="A273" s="1">
        <v>202412.0</v>
      </c>
      <c r="B273" s="1" t="s">
        <v>41</v>
      </c>
      <c r="C273" s="1" t="s">
        <v>46</v>
      </c>
      <c r="D273" s="1" t="s">
        <v>14</v>
      </c>
      <c r="E273" s="1">
        <v>510.0</v>
      </c>
      <c r="F273" s="1">
        <v>4446.11583</v>
      </c>
    </row>
    <row r="274" ht="14.25" customHeight="1">
      <c r="A274" s="1">
        <v>202412.0</v>
      </c>
      <c r="B274" s="1" t="s">
        <v>41</v>
      </c>
      <c r="C274" s="1" t="s">
        <v>46</v>
      </c>
      <c r="D274" s="1" t="s">
        <v>15</v>
      </c>
      <c r="E274" s="1">
        <v>39.0</v>
      </c>
      <c r="F274" s="1">
        <v>3629.7536</v>
      </c>
    </row>
    <row r="275" ht="14.25" customHeight="1">
      <c r="A275" s="1">
        <v>202412.0</v>
      </c>
      <c r="B275" s="1" t="s">
        <v>41</v>
      </c>
      <c r="C275" s="1" t="s">
        <v>46</v>
      </c>
      <c r="D275" s="1" t="s">
        <v>16</v>
      </c>
      <c r="E275" s="1">
        <v>3762.0</v>
      </c>
      <c r="F275" s="1">
        <v>10543.13824</v>
      </c>
    </row>
    <row r="276" ht="14.25" customHeight="1">
      <c r="A276" s="1">
        <v>202412.0</v>
      </c>
      <c r="B276" s="1" t="s">
        <v>41</v>
      </c>
      <c r="C276" s="1" t="s">
        <v>46</v>
      </c>
      <c r="D276" s="1" t="s">
        <v>17</v>
      </c>
      <c r="E276" s="1">
        <v>3512.0</v>
      </c>
      <c r="F276" s="1">
        <v>8187.20074</v>
      </c>
    </row>
    <row r="277" ht="14.25" customHeight="1">
      <c r="A277" s="1">
        <v>202412.0</v>
      </c>
      <c r="B277" s="1" t="s">
        <v>41</v>
      </c>
      <c r="C277" s="1" t="s">
        <v>46</v>
      </c>
      <c r="D277" s="1" t="s">
        <v>18</v>
      </c>
      <c r="E277" s="1">
        <v>9917.0</v>
      </c>
      <c r="F277" s="1">
        <v>17555.12781</v>
      </c>
    </row>
    <row r="278" ht="14.25" customHeight="1">
      <c r="A278" s="1">
        <v>202412.0</v>
      </c>
      <c r="B278" s="1" t="s">
        <v>41</v>
      </c>
      <c r="C278" s="1" t="s">
        <v>46</v>
      </c>
      <c r="D278" s="1" t="s">
        <v>19</v>
      </c>
      <c r="E278" s="1">
        <v>39.0</v>
      </c>
      <c r="F278" s="1">
        <v>813.87566</v>
      </c>
    </row>
    <row r="279" ht="14.25" customHeight="1">
      <c r="A279" s="1">
        <v>202412.0</v>
      </c>
      <c r="B279" s="1" t="s">
        <v>41</v>
      </c>
      <c r="C279" s="1" t="s">
        <v>46</v>
      </c>
      <c r="D279" s="1" t="s">
        <v>20</v>
      </c>
      <c r="E279" s="1">
        <v>128.0</v>
      </c>
      <c r="F279" s="1">
        <v>279.77072</v>
      </c>
    </row>
    <row r="280" ht="14.25" customHeight="1">
      <c r="A280" s="1">
        <v>202412.0</v>
      </c>
      <c r="B280" s="1" t="s">
        <v>41</v>
      </c>
      <c r="C280" s="1" t="s">
        <v>46</v>
      </c>
      <c r="D280" s="1" t="s">
        <v>21</v>
      </c>
      <c r="E280" s="1">
        <v>209.0</v>
      </c>
      <c r="F280" s="1">
        <v>3673.1916</v>
      </c>
    </row>
    <row r="281" ht="14.25" customHeight="1">
      <c r="A281" s="1">
        <v>202412.0</v>
      </c>
      <c r="B281" s="1" t="s">
        <v>41</v>
      </c>
      <c r="C281" s="1" t="s">
        <v>46</v>
      </c>
      <c r="D281" s="1" t="s">
        <v>22</v>
      </c>
      <c r="E281" s="1">
        <v>5.0</v>
      </c>
      <c r="F281" s="1">
        <v>237.8683</v>
      </c>
    </row>
    <row r="282" ht="14.25" customHeight="1">
      <c r="A282" s="1">
        <v>202412.0</v>
      </c>
      <c r="B282" s="1" t="s">
        <v>41</v>
      </c>
      <c r="C282" s="1" t="s">
        <v>46</v>
      </c>
      <c r="D282" s="1" t="s">
        <v>23</v>
      </c>
      <c r="E282" s="1">
        <v>22053.0</v>
      </c>
      <c r="F282" s="1">
        <v>18018.99735</v>
      </c>
    </row>
    <row r="283" ht="14.25" customHeight="1">
      <c r="A283" s="1">
        <v>202412.0</v>
      </c>
      <c r="B283" s="1" t="s">
        <v>41</v>
      </c>
      <c r="C283" s="1" t="s">
        <v>46</v>
      </c>
      <c r="D283" s="1" t="s">
        <v>24</v>
      </c>
      <c r="E283" s="1">
        <v>25.0</v>
      </c>
      <c r="F283" s="1">
        <v>248.54779</v>
      </c>
    </row>
    <row r="284" ht="14.25" customHeight="1">
      <c r="A284" s="1">
        <v>202412.0</v>
      </c>
      <c r="B284" s="1" t="s">
        <v>41</v>
      </c>
      <c r="C284" s="1" t="s">
        <v>46</v>
      </c>
      <c r="D284" s="1" t="s">
        <v>25</v>
      </c>
      <c r="E284" s="1">
        <v>1099.0</v>
      </c>
      <c r="F284" s="1">
        <v>3640.60567</v>
      </c>
    </row>
    <row r="285" ht="14.25" customHeight="1">
      <c r="A285" s="1">
        <v>202412.0</v>
      </c>
      <c r="B285" s="1" t="s">
        <v>41</v>
      </c>
      <c r="C285" s="1" t="s">
        <v>46</v>
      </c>
      <c r="D285" s="1" t="s">
        <v>26</v>
      </c>
      <c r="E285" s="1">
        <v>1714.0</v>
      </c>
      <c r="F285" s="1">
        <v>3349.7767</v>
      </c>
    </row>
    <row r="286" ht="14.25" customHeight="1">
      <c r="A286" s="1">
        <v>202412.0</v>
      </c>
      <c r="B286" s="1" t="s">
        <v>41</v>
      </c>
      <c r="C286" s="1" t="s">
        <v>46</v>
      </c>
      <c r="D286" s="1" t="s">
        <v>27</v>
      </c>
      <c r="E286" s="1">
        <v>9.0</v>
      </c>
      <c r="F286" s="1">
        <v>1478.9116</v>
      </c>
    </row>
    <row r="287" ht="14.25" customHeight="1">
      <c r="A287" s="1">
        <v>202412.0</v>
      </c>
      <c r="B287" s="1" t="s">
        <v>41</v>
      </c>
      <c r="C287" s="1" t="s">
        <v>46</v>
      </c>
      <c r="D287" s="1" t="s">
        <v>28</v>
      </c>
      <c r="E287" s="1">
        <v>27.0</v>
      </c>
      <c r="F287" s="1">
        <v>554.91972</v>
      </c>
    </row>
    <row r="288" ht="14.25" customHeight="1">
      <c r="A288" s="1">
        <v>202412.0</v>
      </c>
      <c r="B288" s="1" t="s">
        <v>41</v>
      </c>
      <c r="C288" s="1" t="s">
        <v>46</v>
      </c>
      <c r="D288" s="1" t="s">
        <v>29</v>
      </c>
      <c r="E288" s="1">
        <v>38945.0</v>
      </c>
      <c r="F288" s="1">
        <v>65562.96869</v>
      </c>
    </row>
    <row r="289" ht="14.25" customHeight="1">
      <c r="A289" s="1">
        <v>202412.0</v>
      </c>
      <c r="B289" s="1" t="s">
        <v>41</v>
      </c>
      <c r="C289" s="1" t="s">
        <v>46</v>
      </c>
      <c r="D289" s="1" t="s">
        <v>30</v>
      </c>
      <c r="E289" s="1">
        <v>12.0</v>
      </c>
      <c r="F289" s="1">
        <v>24250.5488</v>
      </c>
    </row>
    <row r="290" ht="14.25" customHeight="1">
      <c r="A290" s="1">
        <v>202412.0</v>
      </c>
      <c r="B290" s="1" t="s">
        <v>41</v>
      </c>
      <c r="C290" s="1" t="s">
        <v>46</v>
      </c>
      <c r="D290" s="1" t="s">
        <v>31</v>
      </c>
      <c r="E290" s="1">
        <v>1142.0</v>
      </c>
      <c r="F290" s="1">
        <v>1949.45035</v>
      </c>
    </row>
    <row r="291" ht="14.25" customHeight="1">
      <c r="A291" s="1">
        <v>202412.0</v>
      </c>
      <c r="B291" s="1" t="s">
        <v>41</v>
      </c>
      <c r="C291" s="1" t="s">
        <v>46</v>
      </c>
      <c r="D291" s="1" t="s">
        <v>32</v>
      </c>
      <c r="E291" s="1">
        <v>48.0</v>
      </c>
      <c r="F291" s="1">
        <v>11184.8552</v>
      </c>
    </row>
    <row r="292" ht="14.25" customHeight="1">
      <c r="A292" s="1">
        <v>202412.0</v>
      </c>
      <c r="B292" s="1" t="s">
        <v>41</v>
      </c>
      <c r="C292" s="1" t="s">
        <v>46</v>
      </c>
      <c r="D292" s="1" t="s">
        <v>33</v>
      </c>
      <c r="E292" s="1">
        <v>9491.0</v>
      </c>
      <c r="F292" s="1">
        <v>59987.89141</v>
      </c>
    </row>
    <row r="293" ht="14.25" customHeight="1">
      <c r="A293" s="1">
        <v>202412.0</v>
      </c>
      <c r="B293" s="1" t="s">
        <v>41</v>
      </c>
      <c r="C293" s="1" t="s">
        <v>46</v>
      </c>
      <c r="D293" s="1" t="s">
        <v>34</v>
      </c>
      <c r="E293" s="1">
        <v>820.0</v>
      </c>
      <c r="F293" s="1">
        <v>21098.7692</v>
      </c>
    </row>
    <row r="294" ht="14.25" customHeight="1">
      <c r="A294" s="1">
        <v>202412.0</v>
      </c>
      <c r="B294" s="1" t="s">
        <v>47</v>
      </c>
      <c r="C294" s="1" t="s">
        <v>48</v>
      </c>
      <c r="D294" s="1" t="s">
        <v>9</v>
      </c>
      <c r="E294" s="1">
        <v>20.0</v>
      </c>
      <c r="F294" s="1">
        <v>397.10553</v>
      </c>
    </row>
    <row r="295" ht="14.25" customHeight="1">
      <c r="A295" s="1">
        <v>202412.0</v>
      </c>
      <c r="B295" s="1" t="s">
        <v>47</v>
      </c>
      <c r="C295" s="1" t="s">
        <v>48</v>
      </c>
      <c r="D295" s="1" t="s">
        <v>10</v>
      </c>
      <c r="E295" s="1">
        <v>25747.0</v>
      </c>
      <c r="F295" s="1">
        <v>24433.57724</v>
      </c>
    </row>
    <row r="296" ht="14.25" customHeight="1">
      <c r="A296" s="1">
        <v>202412.0</v>
      </c>
      <c r="B296" s="1" t="s">
        <v>47</v>
      </c>
      <c r="C296" s="1" t="s">
        <v>48</v>
      </c>
      <c r="D296" s="1" t="s">
        <v>11</v>
      </c>
      <c r="E296" s="1">
        <v>20265.0</v>
      </c>
      <c r="F296" s="1">
        <v>14954.11199</v>
      </c>
    </row>
    <row r="297" ht="14.25" customHeight="1">
      <c r="A297" s="1">
        <v>202412.0</v>
      </c>
      <c r="B297" s="1" t="s">
        <v>47</v>
      </c>
      <c r="C297" s="1" t="s">
        <v>48</v>
      </c>
      <c r="D297" s="1" t="s">
        <v>12</v>
      </c>
      <c r="E297" s="1">
        <v>122.0</v>
      </c>
      <c r="F297" s="1">
        <v>1544.63211</v>
      </c>
    </row>
    <row r="298" ht="14.25" customHeight="1">
      <c r="A298" s="1">
        <v>202412.0</v>
      </c>
      <c r="B298" s="1" t="s">
        <v>47</v>
      </c>
      <c r="C298" s="1" t="s">
        <v>48</v>
      </c>
      <c r="D298" s="1" t="s">
        <v>13</v>
      </c>
      <c r="E298" s="1">
        <v>273.0</v>
      </c>
      <c r="F298" s="1">
        <v>4311.02978</v>
      </c>
    </row>
    <row r="299" ht="14.25" customHeight="1">
      <c r="A299" s="1">
        <v>202412.0</v>
      </c>
      <c r="B299" s="1" t="s">
        <v>47</v>
      </c>
      <c r="C299" s="1" t="s">
        <v>48</v>
      </c>
      <c r="D299" s="1" t="s">
        <v>14</v>
      </c>
      <c r="E299" s="1">
        <v>453.0</v>
      </c>
      <c r="F299" s="1">
        <v>5970.95465</v>
      </c>
    </row>
    <row r="300" ht="14.25" customHeight="1">
      <c r="A300" s="1">
        <v>202412.0</v>
      </c>
      <c r="B300" s="1" t="s">
        <v>47</v>
      </c>
      <c r="C300" s="1" t="s">
        <v>48</v>
      </c>
      <c r="D300" s="1" t="s">
        <v>15</v>
      </c>
      <c r="E300" s="1">
        <v>6.0</v>
      </c>
      <c r="F300" s="1">
        <v>894.8244</v>
      </c>
    </row>
    <row r="301" ht="14.25" customHeight="1">
      <c r="A301" s="1">
        <v>202412.0</v>
      </c>
      <c r="B301" s="1" t="s">
        <v>47</v>
      </c>
      <c r="C301" s="1" t="s">
        <v>48</v>
      </c>
      <c r="D301" s="1" t="s">
        <v>16</v>
      </c>
      <c r="E301" s="1">
        <v>6711.0</v>
      </c>
      <c r="F301" s="1">
        <v>23769.59748</v>
      </c>
    </row>
    <row r="302" ht="14.25" customHeight="1">
      <c r="A302" s="1">
        <v>202412.0</v>
      </c>
      <c r="B302" s="1" t="s">
        <v>47</v>
      </c>
      <c r="C302" s="1" t="s">
        <v>48</v>
      </c>
      <c r="D302" s="1" t="s">
        <v>17</v>
      </c>
      <c r="E302" s="1">
        <v>2507.0</v>
      </c>
      <c r="F302" s="1">
        <v>5856.41313</v>
      </c>
    </row>
    <row r="303" ht="14.25" customHeight="1">
      <c r="A303" s="1">
        <v>202412.0</v>
      </c>
      <c r="B303" s="1" t="s">
        <v>47</v>
      </c>
      <c r="C303" s="1" t="s">
        <v>48</v>
      </c>
      <c r="D303" s="1" t="s">
        <v>18</v>
      </c>
      <c r="E303" s="1">
        <v>10205.0</v>
      </c>
      <c r="F303" s="1">
        <v>20906.99558</v>
      </c>
    </row>
    <row r="304" ht="14.25" customHeight="1">
      <c r="A304" s="1">
        <v>202412.0</v>
      </c>
      <c r="B304" s="1" t="s">
        <v>47</v>
      </c>
      <c r="C304" s="1" t="s">
        <v>48</v>
      </c>
      <c r="D304" s="1" t="s">
        <v>19</v>
      </c>
      <c r="E304" s="1">
        <v>40.0</v>
      </c>
      <c r="F304" s="1">
        <v>890.88769</v>
      </c>
    </row>
    <row r="305" ht="14.25" customHeight="1">
      <c r="A305" s="1">
        <v>202412.0</v>
      </c>
      <c r="B305" s="1" t="s">
        <v>47</v>
      </c>
      <c r="C305" s="1" t="s">
        <v>48</v>
      </c>
      <c r="D305" s="1" t="s">
        <v>20</v>
      </c>
      <c r="E305" s="1">
        <v>82.0</v>
      </c>
      <c r="F305" s="1">
        <v>230.04102</v>
      </c>
    </row>
    <row r="306" ht="14.25" customHeight="1">
      <c r="A306" s="1">
        <v>202412.0</v>
      </c>
      <c r="B306" s="1" t="s">
        <v>47</v>
      </c>
      <c r="C306" s="1" t="s">
        <v>48</v>
      </c>
      <c r="D306" s="1" t="s">
        <v>37</v>
      </c>
      <c r="E306" s="1">
        <v>3.0</v>
      </c>
      <c r="F306" s="1">
        <v>1150.8772</v>
      </c>
    </row>
    <row r="307" ht="14.25" customHeight="1">
      <c r="A307" s="1">
        <v>202412.0</v>
      </c>
      <c r="B307" s="1" t="s">
        <v>47</v>
      </c>
      <c r="C307" s="1" t="s">
        <v>48</v>
      </c>
      <c r="D307" s="1" t="s">
        <v>21</v>
      </c>
      <c r="E307" s="1">
        <v>106.0</v>
      </c>
      <c r="F307" s="1">
        <v>3663.7744</v>
      </c>
    </row>
    <row r="308" ht="14.25" customHeight="1">
      <c r="A308" s="1">
        <v>202412.0</v>
      </c>
      <c r="B308" s="1" t="s">
        <v>47</v>
      </c>
      <c r="C308" s="1" t="s">
        <v>48</v>
      </c>
      <c r="D308" s="1" t="s">
        <v>23</v>
      </c>
      <c r="E308" s="1">
        <v>24732.0</v>
      </c>
      <c r="F308" s="1">
        <v>26880.69513</v>
      </c>
    </row>
    <row r="309" ht="14.25" customHeight="1">
      <c r="A309" s="1">
        <v>202412.0</v>
      </c>
      <c r="B309" s="1" t="s">
        <v>47</v>
      </c>
      <c r="C309" s="1" t="s">
        <v>48</v>
      </c>
      <c r="D309" s="1" t="s">
        <v>24</v>
      </c>
      <c r="E309" s="1">
        <v>17.0</v>
      </c>
      <c r="F309" s="1">
        <v>308.04344</v>
      </c>
    </row>
    <row r="310" ht="14.25" customHeight="1">
      <c r="A310" s="1">
        <v>202412.0</v>
      </c>
      <c r="B310" s="1" t="s">
        <v>47</v>
      </c>
      <c r="C310" s="1" t="s">
        <v>48</v>
      </c>
      <c r="D310" s="1" t="s">
        <v>25</v>
      </c>
      <c r="E310" s="1">
        <v>730.0</v>
      </c>
      <c r="F310" s="1">
        <v>3428.26195</v>
      </c>
    </row>
    <row r="311" ht="14.25" customHeight="1">
      <c r="A311" s="1">
        <v>202412.0</v>
      </c>
      <c r="B311" s="1" t="s">
        <v>47</v>
      </c>
      <c r="C311" s="1" t="s">
        <v>48</v>
      </c>
      <c r="D311" s="1" t="s">
        <v>26</v>
      </c>
      <c r="E311" s="1">
        <v>2153.0</v>
      </c>
      <c r="F311" s="1">
        <v>4855.40715</v>
      </c>
    </row>
    <row r="312" ht="14.25" customHeight="1">
      <c r="A312" s="1">
        <v>202412.0</v>
      </c>
      <c r="B312" s="1" t="s">
        <v>47</v>
      </c>
      <c r="C312" s="1" t="s">
        <v>48</v>
      </c>
      <c r="D312" s="1" t="s">
        <v>27</v>
      </c>
      <c r="E312" s="1">
        <v>1.0</v>
      </c>
      <c r="F312" s="1">
        <v>134.5124</v>
      </c>
    </row>
    <row r="313" ht="14.25" customHeight="1">
      <c r="A313" s="1">
        <v>202412.0</v>
      </c>
      <c r="B313" s="1" t="s">
        <v>47</v>
      </c>
      <c r="C313" s="1" t="s">
        <v>48</v>
      </c>
      <c r="D313" s="1" t="s">
        <v>28</v>
      </c>
      <c r="E313" s="1">
        <v>18.0</v>
      </c>
      <c r="F313" s="1">
        <v>266.96027</v>
      </c>
    </row>
    <row r="314" ht="14.25" customHeight="1">
      <c r="A314" s="1">
        <v>202412.0</v>
      </c>
      <c r="B314" s="1" t="s">
        <v>47</v>
      </c>
      <c r="C314" s="1" t="s">
        <v>48</v>
      </c>
      <c r="D314" s="1" t="s">
        <v>29</v>
      </c>
      <c r="E314" s="1">
        <v>41925.0</v>
      </c>
      <c r="F314" s="1">
        <v>83404.50177</v>
      </c>
    </row>
    <row r="315" ht="14.25" customHeight="1">
      <c r="A315" s="1">
        <v>202412.0</v>
      </c>
      <c r="B315" s="1" t="s">
        <v>47</v>
      </c>
      <c r="C315" s="1" t="s">
        <v>48</v>
      </c>
      <c r="D315" s="1" t="s">
        <v>30</v>
      </c>
      <c r="E315" s="1">
        <v>3.0</v>
      </c>
      <c r="F315" s="1">
        <v>4850.0372</v>
      </c>
    </row>
    <row r="316" ht="14.25" customHeight="1">
      <c r="A316" s="1">
        <v>202412.0</v>
      </c>
      <c r="B316" s="1" t="s">
        <v>47</v>
      </c>
      <c r="C316" s="1" t="s">
        <v>48</v>
      </c>
      <c r="D316" s="1" t="s">
        <v>31</v>
      </c>
      <c r="E316" s="1">
        <v>433.0</v>
      </c>
      <c r="F316" s="1">
        <v>2152.27969</v>
      </c>
    </row>
    <row r="317" ht="14.25" customHeight="1">
      <c r="A317" s="1">
        <v>202412.0</v>
      </c>
      <c r="B317" s="1" t="s">
        <v>47</v>
      </c>
      <c r="C317" s="1" t="s">
        <v>48</v>
      </c>
      <c r="D317" s="1" t="s">
        <v>32</v>
      </c>
      <c r="E317" s="1">
        <v>10.0</v>
      </c>
      <c r="F317" s="1">
        <v>1558.644</v>
      </c>
    </row>
    <row r="318" ht="14.25" customHeight="1">
      <c r="A318" s="1">
        <v>202412.0</v>
      </c>
      <c r="B318" s="1" t="s">
        <v>47</v>
      </c>
      <c r="C318" s="1" t="s">
        <v>48</v>
      </c>
      <c r="D318" s="1" t="s">
        <v>33</v>
      </c>
      <c r="E318" s="1">
        <v>10369.0</v>
      </c>
      <c r="F318" s="1">
        <v>92238.08799</v>
      </c>
    </row>
    <row r="319" ht="14.25" customHeight="1">
      <c r="A319" s="1">
        <v>202412.0</v>
      </c>
      <c r="B319" s="1" t="s">
        <v>47</v>
      </c>
      <c r="C319" s="1" t="s">
        <v>48</v>
      </c>
      <c r="D319" s="1" t="s">
        <v>34</v>
      </c>
      <c r="E319" s="1">
        <v>382.0</v>
      </c>
      <c r="F319" s="1">
        <v>7580.93308</v>
      </c>
    </row>
    <row r="320" ht="14.25" customHeight="1">
      <c r="A320" s="1">
        <v>202412.0</v>
      </c>
      <c r="B320" s="1" t="s">
        <v>47</v>
      </c>
      <c r="C320" s="1" t="s">
        <v>49</v>
      </c>
      <c r="D320" s="1" t="s">
        <v>9</v>
      </c>
      <c r="E320" s="1">
        <v>17.0</v>
      </c>
      <c r="F320" s="1">
        <v>219.89121</v>
      </c>
    </row>
    <row r="321" ht="14.25" customHeight="1">
      <c r="A321" s="1">
        <v>202412.0</v>
      </c>
      <c r="B321" s="1" t="s">
        <v>47</v>
      </c>
      <c r="C321" s="1" t="s">
        <v>49</v>
      </c>
      <c r="D321" s="1" t="s">
        <v>10</v>
      </c>
      <c r="E321" s="1">
        <v>27861.0</v>
      </c>
      <c r="F321" s="1">
        <v>27023.43608</v>
      </c>
    </row>
    <row r="322" ht="14.25" customHeight="1">
      <c r="A322" s="1">
        <v>202412.0</v>
      </c>
      <c r="B322" s="1" t="s">
        <v>47</v>
      </c>
      <c r="C322" s="1" t="s">
        <v>49</v>
      </c>
      <c r="D322" s="1" t="s">
        <v>11</v>
      </c>
      <c r="E322" s="1">
        <v>22910.0</v>
      </c>
      <c r="F322" s="1">
        <v>16873.48096</v>
      </c>
    </row>
    <row r="323" ht="14.25" customHeight="1">
      <c r="A323" s="1">
        <v>202412.0</v>
      </c>
      <c r="B323" s="1" t="s">
        <v>47</v>
      </c>
      <c r="C323" s="1" t="s">
        <v>49</v>
      </c>
      <c r="D323" s="1" t="s">
        <v>12</v>
      </c>
      <c r="E323" s="1">
        <v>161.0</v>
      </c>
      <c r="F323" s="1">
        <v>1939.8129</v>
      </c>
    </row>
    <row r="324" ht="14.25" customHeight="1">
      <c r="A324" s="1">
        <v>202412.0</v>
      </c>
      <c r="B324" s="1" t="s">
        <v>47</v>
      </c>
      <c r="C324" s="1" t="s">
        <v>49</v>
      </c>
      <c r="D324" s="1" t="s">
        <v>13</v>
      </c>
      <c r="E324" s="1">
        <v>352.0</v>
      </c>
      <c r="F324" s="1">
        <v>5347.62641</v>
      </c>
    </row>
    <row r="325" ht="14.25" customHeight="1">
      <c r="A325" s="1">
        <v>202412.0</v>
      </c>
      <c r="B325" s="1" t="s">
        <v>47</v>
      </c>
      <c r="C325" s="1" t="s">
        <v>49</v>
      </c>
      <c r="D325" s="1" t="s">
        <v>14</v>
      </c>
      <c r="E325" s="1">
        <v>606.0</v>
      </c>
      <c r="F325" s="1">
        <v>6421.74456</v>
      </c>
    </row>
    <row r="326" ht="14.25" customHeight="1">
      <c r="A326" s="1">
        <v>202412.0</v>
      </c>
      <c r="B326" s="1" t="s">
        <v>47</v>
      </c>
      <c r="C326" s="1" t="s">
        <v>49</v>
      </c>
      <c r="D326" s="1" t="s">
        <v>15</v>
      </c>
      <c r="E326" s="1">
        <v>25.0</v>
      </c>
      <c r="F326" s="1">
        <v>2386.56</v>
      </c>
    </row>
    <row r="327" ht="14.25" customHeight="1">
      <c r="A327" s="1">
        <v>202412.0</v>
      </c>
      <c r="B327" s="1" t="s">
        <v>47</v>
      </c>
      <c r="C327" s="1" t="s">
        <v>49</v>
      </c>
      <c r="D327" s="1" t="s">
        <v>16</v>
      </c>
      <c r="E327" s="1">
        <v>6317.0</v>
      </c>
      <c r="F327" s="1">
        <v>19921.28099</v>
      </c>
    </row>
    <row r="328" ht="14.25" customHeight="1">
      <c r="A328" s="1">
        <v>202412.0</v>
      </c>
      <c r="B328" s="1" t="s">
        <v>47</v>
      </c>
      <c r="C328" s="1" t="s">
        <v>49</v>
      </c>
      <c r="D328" s="1" t="s">
        <v>17</v>
      </c>
      <c r="E328" s="1">
        <v>2683.0</v>
      </c>
      <c r="F328" s="1">
        <v>5609.38255</v>
      </c>
    </row>
    <row r="329" ht="14.25" customHeight="1">
      <c r="A329" s="1">
        <v>202412.0</v>
      </c>
      <c r="B329" s="1" t="s">
        <v>47</v>
      </c>
      <c r="C329" s="1" t="s">
        <v>49</v>
      </c>
      <c r="D329" s="1" t="s">
        <v>18</v>
      </c>
      <c r="E329" s="1">
        <v>11056.0</v>
      </c>
      <c r="F329" s="1">
        <v>20727.6954</v>
      </c>
    </row>
    <row r="330" ht="14.25" customHeight="1">
      <c r="A330" s="1">
        <v>202412.0</v>
      </c>
      <c r="B330" s="1" t="s">
        <v>47</v>
      </c>
      <c r="C330" s="1" t="s">
        <v>49</v>
      </c>
      <c r="D330" s="1" t="s">
        <v>19</v>
      </c>
      <c r="E330" s="1">
        <v>52.0</v>
      </c>
      <c r="F330" s="1">
        <v>834.53267</v>
      </c>
    </row>
    <row r="331" ht="14.25" customHeight="1">
      <c r="A331" s="1">
        <v>202412.0</v>
      </c>
      <c r="B331" s="1" t="s">
        <v>47</v>
      </c>
      <c r="C331" s="1" t="s">
        <v>49</v>
      </c>
      <c r="D331" s="1" t="s">
        <v>20</v>
      </c>
      <c r="E331" s="1">
        <v>93.0</v>
      </c>
      <c r="F331" s="1">
        <v>294.6164</v>
      </c>
    </row>
    <row r="332" ht="14.25" customHeight="1">
      <c r="A332" s="1">
        <v>202412.0</v>
      </c>
      <c r="B332" s="1" t="s">
        <v>47</v>
      </c>
      <c r="C332" s="1" t="s">
        <v>49</v>
      </c>
      <c r="D332" s="1" t="s">
        <v>21</v>
      </c>
      <c r="E332" s="1">
        <v>109.0</v>
      </c>
      <c r="F332" s="1">
        <v>3216.2916</v>
      </c>
    </row>
    <row r="333" ht="14.25" customHeight="1">
      <c r="A333" s="1">
        <v>202412.0</v>
      </c>
      <c r="B333" s="1" t="s">
        <v>47</v>
      </c>
      <c r="C333" s="1" t="s">
        <v>49</v>
      </c>
      <c r="D333" s="1" t="s">
        <v>23</v>
      </c>
      <c r="E333" s="1">
        <v>22429.0</v>
      </c>
      <c r="F333" s="1">
        <v>23279.12376</v>
      </c>
    </row>
    <row r="334" ht="14.25" customHeight="1">
      <c r="A334" s="1">
        <v>202412.0</v>
      </c>
      <c r="B334" s="1" t="s">
        <v>47</v>
      </c>
      <c r="C334" s="1" t="s">
        <v>49</v>
      </c>
      <c r="D334" s="1" t="s">
        <v>24</v>
      </c>
      <c r="E334" s="1">
        <v>6.0</v>
      </c>
      <c r="F334" s="1">
        <v>117.46561</v>
      </c>
    </row>
    <row r="335" ht="14.25" customHeight="1">
      <c r="A335" s="1">
        <v>202412.0</v>
      </c>
      <c r="B335" s="1" t="s">
        <v>47</v>
      </c>
      <c r="C335" s="1" t="s">
        <v>49</v>
      </c>
      <c r="D335" s="1" t="s">
        <v>25</v>
      </c>
      <c r="E335" s="1">
        <v>1153.0</v>
      </c>
      <c r="F335" s="1">
        <v>5384.14107</v>
      </c>
    </row>
    <row r="336" ht="14.25" customHeight="1">
      <c r="A336" s="1">
        <v>202412.0</v>
      </c>
      <c r="B336" s="1" t="s">
        <v>47</v>
      </c>
      <c r="C336" s="1" t="s">
        <v>49</v>
      </c>
      <c r="D336" s="1" t="s">
        <v>26</v>
      </c>
      <c r="E336" s="1">
        <v>2526.0</v>
      </c>
      <c r="F336" s="1">
        <v>5440.07983</v>
      </c>
    </row>
    <row r="337" ht="14.25" customHeight="1">
      <c r="A337" s="1">
        <v>202412.0</v>
      </c>
      <c r="B337" s="1" t="s">
        <v>47</v>
      </c>
      <c r="C337" s="1" t="s">
        <v>49</v>
      </c>
      <c r="D337" s="1" t="s">
        <v>27</v>
      </c>
      <c r="E337" s="1">
        <v>5.0</v>
      </c>
      <c r="F337" s="1">
        <v>710.762</v>
      </c>
    </row>
    <row r="338" ht="14.25" customHeight="1">
      <c r="A338" s="1">
        <v>202412.0</v>
      </c>
      <c r="B338" s="1" t="s">
        <v>47</v>
      </c>
      <c r="C338" s="1" t="s">
        <v>49</v>
      </c>
      <c r="D338" s="1" t="s">
        <v>28</v>
      </c>
      <c r="E338" s="1">
        <v>37.0</v>
      </c>
      <c r="F338" s="1">
        <v>441.00996</v>
      </c>
    </row>
    <row r="339" ht="14.25" customHeight="1">
      <c r="A339" s="1">
        <v>202412.0</v>
      </c>
      <c r="B339" s="1" t="s">
        <v>47</v>
      </c>
      <c r="C339" s="1" t="s">
        <v>49</v>
      </c>
      <c r="D339" s="1" t="s">
        <v>29</v>
      </c>
      <c r="E339" s="1">
        <v>44687.0</v>
      </c>
      <c r="F339" s="1">
        <v>80524.4368</v>
      </c>
    </row>
    <row r="340" ht="14.25" customHeight="1">
      <c r="A340" s="1">
        <v>202412.0</v>
      </c>
      <c r="B340" s="1" t="s">
        <v>47</v>
      </c>
      <c r="C340" s="1" t="s">
        <v>49</v>
      </c>
      <c r="D340" s="1" t="s">
        <v>30</v>
      </c>
      <c r="E340" s="1">
        <v>5.0</v>
      </c>
      <c r="F340" s="1">
        <v>6790.062</v>
      </c>
    </row>
    <row r="341" ht="14.25" customHeight="1">
      <c r="A341" s="1">
        <v>202412.0</v>
      </c>
      <c r="B341" s="1" t="s">
        <v>47</v>
      </c>
      <c r="C341" s="1" t="s">
        <v>49</v>
      </c>
      <c r="D341" s="1" t="s">
        <v>31</v>
      </c>
      <c r="E341" s="1">
        <v>572.0</v>
      </c>
      <c r="F341" s="1">
        <v>1300.02384</v>
      </c>
    </row>
    <row r="342" ht="14.25" customHeight="1">
      <c r="A342" s="1">
        <v>202412.0</v>
      </c>
      <c r="B342" s="1" t="s">
        <v>47</v>
      </c>
      <c r="C342" s="1" t="s">
        <v>49</v>
      </c>
      <c r="D342" s="1" t="s">
        <v>32</v>
      </c>
      <c r="E342" s="1">
        <v>8.0</v>
      </c>
      <c r="F342" s="1">
        <v>1747.0592</v>
      </c>
    </row>
    <row r="343" ht="14.25" customHeight="1">
      <c r="A343" s="1">
        <v>202412.0</v>
      </c>
      <c r="B343" s="1" t="s">
        <v>47</v>
      </c>
      <c r="C343" s="1" t="s">
        <v>49</v>
      </c>
      <c r="D343" s="1" t="s">
        <v>33</v>
      </c>
      <c r="E343" s="1">
        <v>10487.0</v>
      </c>
      <c r="F343" s="1">
        <v>86315.81772</v>
      </c>
    </row>
    <row r="344" ht="14.25" customHeight="1">
      <c r="A344" s="1">
        <v>202412.0</v>
      </c>
      <c r="B344" s="1" t="s">
        <v>47</v>
      </c>
      <c r="C344" s="1" t="s">
        <v>49</v>
      </c>
      <c r="D344" s="1" t="s">
        <v>34</v>
      </c>
      <c r="E344" s="1">
        <v>534.0</v>
      </c>
      <c r="F344" s="1">
        <v>12821.76425</v>
      </c>
    </row>
    <row r="345" ht="14.25" customHeight="1">
      <c r="A345" s="1">
        <v>202412.0</v>
      </c>
      <c r="B345" s="1" t="s">
        <v>47</v>
      </c>
      <c r="C345" s="1" t="s">
        <v>50</v>
      </c>
      <c r="D345" s="1" t="s">
        <v>9</v>
      </c>
      <c r="E345" s="1">
        <v>68.0</v>
      </c>
      <c r="F345" s="1">
        <v>1295.53661</v>
      </c>
    </row>
    <row r="346" ht="14.25" customHeight="1">
      <c r="A346" s="1">
        <v>202412.0</v>
      </c>
      <c r="B346" s="1" t="s">
        <v>47</v>
      </c>
      <c r="C346" s="1" t="s">
        <v>50</v>
      </c>
      <c r="D346" s="1" t="s">
        <v>10</v>
      </c>
      <c r="E346" s="1">
        <v>23834.0</v>
      </c>
      <c r="F346" s="1">
        <v>21346.13778</v>
      </c>
    </row>
    <row r="347" ht="14.25" customHeight="1">
      <c r="A347" s="1">
        <v>202412.0</v>
      </c>
      <c r="B347" s="1" t="s">
        <v>47</v>
      </c>
      <c r="C347" s="1" t="s">
        <v>50</v>
      </c>
      <c r="D347" s="1" t="s">
        <v>11</v>
      </c>
      <c r="E347" s="1">
        <v>18372.0</v>
      </c>
      <c r="F347" s="1">
        <v>11962.23993</v>
      </c>
    </row>
    <row r="348" ht="14.25" customHeight="1">
      <c r="A348" s="1">
        <v>202412.0</v>
      </c>
      <c r="B348" s="1" t="s">
        <v>47</v>
      </c>
      <c r="C348" s="1" t="s">
        <v>50</v>
      </c>
      <c r="D348" s="1" t="s">
        <v>12</v>
      </c>
      <c r="E348" s="1">
        <v>107.0</v>
      </c>
      <c r="F348" s="1">
        <v>1290.76015</v>
      </c>
    </row>
    <row r="349" ht="14.25" customHeight="1">
      <c r="A349" s="1">
        <v>202412.0</v>
      </c>
      <c r="B349" s="1" t="s">
        <v>47</v>
      </c>
      <c r="C349" s="1" t="s">
        <v>50</v>
      </c>
      <c r="D349" s="1" t="s">
        <v>13</v>
      </c>
      <c r="E349" s="1">
        <v>240.0</v>
      </c>
      <c r="F349" s="1">
        <v>3345.80617</v>
      </c>
    </row>
    <row r="350" ht="14.25" customHeight="1">
      <c r="A350" s="1">
        <v>202412.0</v>
      </c>
      <c r="B350" s="1" t="s">
        <v>47</v>
      </c>
      <c r="C350" s="1" t="s">
        <v>50</v>
      </c>
      <c r="D350" s="1" t="s">
        <v>14</v>
      </c>
      <c r="E350" s="1">
        <v>492.0</v>
      </c>
      <c r="F350" s="1">
        <v>5750.22134</v>
      </c>
    </row>
    <row r="351" ht="14.25" customHeight="1">
      <c r="A351" s="1">
        <v>202412.0</v>
      </c>
      <c r="B351" s="1" t="s">
        <v>47</v>
      </c>
      <c r="C351" s="1" t="s">
        <v>50</v>
      </c>
      <c r="D351" s="1" t="s">
        <v>15</v>
      </c>
      <c r="E351" s="1">
        <v>7.0</v>
      </c>
      <c r="F351" s="1">
        <v>775.1868</v>
      </c>
    </row>
    <row r="352" ht="14.25" customHeight="1">
      <c r="A352" s="1">
        <v>202412.0</v>
      </c>
      <c r="B352" s="1" t="s">
        <v>47</v>
      </c>
      <c r="C352" s="1" t="s">
        <v>50</v>
      </c>
      <c r="D352" s="1" t="s">
        <v>16</v>
      </c>
      <c r="E352" s="1">
        <v>4759.0</v>
      </c>
      <c r="F352" s="1">
        <v>15119.49701</v>
      </c>
    </row>
    <row r="353" ht="14.25" customHeight="1">
      <c r="A353" s="1">
        <v>202412.0</v>
      </c>
      <c r="B353" s="1" t="s">
        <v>47</v>
      </c>
      <c r="C353" s="1" t="s">
        <v>50</v>
      </c>
      <c r="D353" s="1" t="s">
        <v>17</v>
      </c>
      <c r="E353" s="1">
        <v>3476.0</v>
      </c>
      <c r="F353" s="1">
        <v>6608.85533</v>
      </c>
    </row>
    <row r="354" ht="14.25" customHeight="1">
      <c r="A354" s="1">
        <v>202412.0</v>
      </c>
      <c r="B354" s="1" t="s">
        <v>47</v>
      </c>
      <c r="C354" s="1" t="s">
        <v>50</v>
      </c>
      <c r="D354" s="1" t="s">
        <v>18</v>
      </c>
      <c r="E354" s="1">
        <v>10347.0</v>
      </c>
      <c r="F354" s="1">
        <v>17295.69204</v>
      </c>
    </row>
    <row r="355" ht="14.25" customHeight="1">
      <c r="A355" s="1">
        <v>202412.0</v>
      </c>
      <c r="B355" s="1" t="s">
        <v>47</v>
      </c>
      <c r="C355" s="1" t="s">
        <v>50</v>
      </c>
      <c r="D355" s="1" t="s">
        <v>19</v>
      </c>
      <c r="E355" s="1">
        <v>25.0</v>
      </c>
      <c r="F355" s="1">
        <v>485.52268</v>
      </c>
    </row>
    <row r="356" ht="14.25" customHeight="1">
      <c r="A356" s="1">
        <v>202412.0</v>
      </c>
      <c r="B356" s="1" t="s">
        <v>47</v>
      </c>
      <c r="C356" s="1" t="s">
        <v>50</v>
      </c>
      <c r="D356" s="1" t="s">
        <v>20</v>
      </c>
      <c r="E356" s="1">
        <v>68.0</v>
      </c>
      <c r="F356" s="1">
        <v>192.25779</v>
      </c>
    </row>
    <row r="357" ht="14.25" customHeight="1">
      <c r="A357" s="1">
        <v>202412.0</v>
      </c>
      <c r="B357" s="1" t="s">
        <v>47</v>
      </c>
      <c r="C357" s="1" t="s">
        <v>50</v>
      </c>
      <c r="D357" s="1" t="s">
        <v>21</v>
      </c>
      <c r="E357" s="1">
        <v>125.0</v>
      </c>
      <c r="F357" s="1">
        <v>3168.64093</v>
      </c>
    </row>
    <row r="358" ht="14.25" customHeight="1">
      <c r="A358" s="1">
        <v>202412.0</v>
      </c>
      <c r="B358" s="1" t="s">
        <v>47</v>
      </c>
      <c r="C358" s="1" t="s">
        <v>50</v>
      </c>
      <c r="D358" s="1" t="s">
        <v>22</v>
      </c>
      <c r="E358" s="1">
        <v>1.0</v>
      </c>
      <c r="F358" s="1">
        <v>168.5524</v>
      </c>
    </row>
    <row r="359" ht="14.25" customHeight="1">
      <c r="A359" s="1">
        <v>202412.0</v>
      </c>
      <c r="B359" s="1" t="s">
        <v>47</v>
      </c>
      <c r="C359" s="1" t="s">
        <v>50</v>
      </c>
      <c r="D359" s="1" t="s">
        <v>23</v>
      </c>
      <c r="E359" s="1">
        <v>16775.0</v>
      </c>
      <c r="F359" s="1">
        <v>16977.15514</v>
      </c>
    </row>
    <row r="360" ht="14.25" customHeight="1">
      <c r="A360" s="1">
        <v>202412.0</v>
      </c>
      <c r="B360" s="1" t="s">
        <v>47</v>
      </c>
      <c r="C360" s="1" t="s">
        <v>50</v>
      </c>
      <c r="D360" s="1" t="s">
        <v>24</v>
      </c>
      <c r="E360" s="1">
        <v>8.0</v>
      </c>
      <c r="F360" s="1">
        <v>134.82406</v>
      </c>
    </row>
    <row r="361" ht="14.25" customHeight="1">
      <c r="A361" s="1">
        <v>202412.0</v>
      </c>
      <c r="B361" s="1" t="s">
        <v>47</v>
      </c>
      <c r="C361" s="1" t="s">
        <v>50</v>
      </c>
      <c r="D361" s="1" t="s">
        <v>25</v>
      </c>
      <c r="E361" s="1">
        <v>1667.0</v>
      </c>
      <c r="F361" s="1">
        <v>4634.55653</v>
      </c>
    </row>
    <row r="362" ht="14.25" customHeight="1">
      <c r="A362" s="1">
        <v>202412.0</v>
      </c>
      <c r="B362" s="1" t="s">
        <v>47</v>
      </c>
      <c r="C362" s="1" t="s">
        <v>50</v>
      </c>
      <c r="D362" s="1" t="s">
        <v>26</v>
      </c>
      <c r="E362" s="1">
        <v>1343.0</v>
      </c>
      <c r="F362" s="1">
        <v>2811.83952</v>
      </c>
    </row>
    <row r="363" ht="14.25" customHeight="1">
      <c r="A363" s="1">
        <v>202412.0</v>
      </c>
      <c r="B363" s="1" t="s">
        <v>47</v>
      </c>
      <c r="C363" s="1" t="s">
        <v>50</v>
      </c>
      <c r="D363" s="1" t="s">
        <v>27</v>
      </c>
      <c r="E363" s="1">
        <v>1.0</v>
      </c>
      <c r="F363" s="1">
        <v>290.15371</v>
      </c>
    </row>
    <row r="364" ht="14.25" customHeight="1">
      <c r="A364" s="1">
        <v>202412.0</v>
      </c>
      <c r="B364" s="1" t="s">
        <v>47</v>
      </c>
      <c r="C364" s="1" t="s">
        <v>50</v>
      </c>
      <c r="D364" s="1" t="s">
        <v>28</v>
      </c>
      <c r="E364" s="1">
        <v>16.0</v>
      </c>
      <c r="F364" s="1">
        <v>296.0403</v>
      </c>
    </row>
    <row r="365" ht="14.25" customHeight="1">
      <c r="A365" s="1">
        <v>202412.0</v>
      </c>
      <c r="B365" s="1" t="s">
        <v>47</v>
      </c>
      <c r="C365" s="1" t="s">
        <v>50</v>
      </c>
      <c r="D365" s="1" t="s">
        <v>29</v>
      </c>
      <c r="E365" s="1">
        <v>36946.0</v>
      </c>
      <c r="F365" s="1">
        <v>66665.79244</v>
      </c>
    </row>
    <row r="366" ht="14.25" customHeight="1">
      <c r="A366" s="1">
        <v>202412.0</v>
      </c>
      <c r="B366" s="1" t="s">
        <v>47</v>
      </c>
      <c r="C366" s="1" t="s">
        <v>50</v>
      </c>
      <c r="D366" s="1" t="s">
        <v>30</v>
      </c>
      <c r="E366" s="1">
        <v>5.0</v>
      </c>
      <c r="F366" s="1">
        <v>7275.062</v>
      </c>
    </row>
    <row r="367" ht="14.25" customHeight="1">
      <c r="A367" s="1">
        <v>202412.0</v>
      </c>
      <c r="B367" s="1" t="s">
        <v>47</v>
      </c>
      <c r="C367" s="1" t="s">
        <v>50</v>
      </c>
      <c r="D367" s="1" t="s">
        <v>31</v>
      </c>
      <c r="E367" s="1">
        <v>1042.0</v>
      </c>
      <c r="F367" s="1">
        <v>2258.69053</v>
      </c>
    </row>
    <row r="368" ht="14.25" customHeight="1">
      <c r="A368" s="1">
        <v>202412.0</v>
      </c>
      <c r="B368" s="1" t="s">
        <v>47</v>
      </c>
      <c r="C368" s="1" t="s">
        <v>50</v>
      </c>
      <c r="D368" s="1" t="s">
        <v>32</v>
      </c>
      <c r="E368" s="1">
        <v>31.0</v>
      </c>
      <c r="F368" s="1">
        <v>3260.46287</v>
      </c>
    </row>
    <row r="369" ht="14.25" customHeight="1">
      <c r="A369" s="1">
        <v>202412.0</v>
      </c>
      <c r="B369" s="1" t="s">
        <v>47</v>
      </c>
      <c r="C369" s="1" t="s">
        <v>50</v>
      </c>
      <c r="D369" s="1" t="s">
        <v>33</v>
      </c>
      <c r="E369" s="1">
        <v>9143.0</v>
      </c>
      <c r="F369" s="1">
        <v>68553.91847</v>
      </c>
    </row>
    <row r="370" ht="14.25" customHeight="1">
      <c r="A370" s="1">
        <v>202412.0</v>
      </c>
      <c r="B370" s="1" t="s">
        <v>47</v>
      </c>
      <c r="C370" s="1" t="s">
        <v>50</v>
      </c>
      <c r="D370" s="1" t="s">
        <v>34</v>
      </c>
      <c r="E370" s="1">
        <v>1699.0</v>
      </c>
      <c r="F370" s="1">
        <v>42607.16556</v>
      </c>
    </row>
    <row r="371" ht="14.25" customHeight="1">
      <c r="A371" s="1">
        <v>202412.0</v>
      </c>
      <c r="B371" s="1" t="s">
        <v>47</v>
      </c>
      <c r="C371" s="1" t="s">
        <v>51</v>
      </c>
      <c r="D371" s="1" t="s">
        <v>9</v>
      </c>
      <c r="E371" s="1">
        <v>2.0</v>
      </c>
      <c r="F371" s="1">
        <v>40.72813</v>
      </c>
    </row>
    <row r="372" ht="14.25" customHeight="1">
      <c r="A372" s="1">
        <v>202412.0</v>
      </c>
      <c r="B372" s="1" t="s">
        <v>47</v>
      </c>
      <c r="C372" s="1" t="s">
        <v>51</v>
      </c>
      <c r="D372" s="1" t="s">
        <v>10</v>
      </c>
      <c r="E372" s="1">
        <v>29812.0</v>
      </c>
      <c r="F372" s="1">
        <v>33516.69617</v>
      </c>
    </row>
    <row r="373" ht="14.25" customHeight="1">
      <c r="A373" s="1">
        <v>202412.0</v>
      </c>
      <c r="B373" s="1" t="s">
        <v>47</v>
      </c>
      <c r="C373" s="1" t="s">
        <v>51</v>
      </c>
      <c r="D373" s="1" t="s">
        <v>11</v>
      </c>
      <c r="E373" s="1">
        <v>20538.0</v>
      </c>
      <c r="F373" s="1">
        <v>16511.79672</v>
      </c>
    </row>
    <row r="374" ht="14.25" customHeight="1">
      <c r="A374" s="1">
        <v>202412.0</v>
      </c>
      <c r="B374" s="1" t="s">
        <v>47</v>
      </c>
      <c r="C374" s="1" t="s">
        <v>51</v>
      </c>
      <c r="D374" s="1" t="s">
        <v>12</v>
      </c>
      <c r="E374" s="1">
        <v>139.0</v>
      </c>
      <c r="F374" s="1">
        <v>1668.45661</v>
      </c>
    </row>
    <row r="375" ht="14.25" customHeight="1">
      <c r="A375" s="1">
        <v>202412.0</v>
      </c>
      <c r="B375" s="1" t="s">
        <v>47</v>
      </c>
      <c r="C375" s="1" t="s">
        <v>51</v>
      </c>
      <c r="D375" s="1" t="s">
        <v>13</v>
      </c>
      <c r="E375" s="1">
        <v>537.0</v>
      </c>
      <c r="F375" s="1">
        <v>7218.77443</v>
      </c>
    </row>
    <row r="376" ht="14.25" customHeight="1">
      <c r="A376" s="1">
        <v>202412.0</v>
      </c>
      <c r="B376" s="1" t="s">
        <v>47</v>
      </c>
      <c r="C376" s="1" t="s">
        <v>51</v>
      </c>
      <c r="D376" s="1" t="s">
        <v>14</v>
      </c>
      <c r="E376" s="1">
        <v>447.0</v>
      </c>
      <c r="F376" s="1">
        <v>5169.77653</v>
      </c>
    </row>
    <row r="377" ht="14.25" customHeight="1">
      <c r="A377" s="1">
        <v>202412.0</v>
      </c>
      <c r="B377" s="1" t="s">
        <v>47</v>
      </c>
      <c r="C377" s="1" t="s">
        <v>51</v>
      </c>
      <c r="D377" s="1" t="s">
        <v>15</v>
      </c>
      <c r="E377" s="1">
        <v>18.0</v>
      </c>
      <c r="F377" s="1">
        <v>2668.49213</v>
      </c>
    </row>
    <row r="378" ht="14.25" customHeight="1">
      <c r="A378" s="1">
        <v>202412.0</v>
      </c>
      <c r="B378" s="1" t="s">
        <v>47</v>
      </c>
      <c r="C378" s="1" t="s">
        <v>51</v>
      </c>
      <c r="D378" s="1" t="s">
        <v>16</v>
      </c>
      <c r="E378" s="1">
        <v>8947.0</v>
      </c>
      <c r="F378" s="1">
        <v>25922.36551</v>
      </c>
    </row>
    <row r="379" ht="14.25" customHeight="1">
      <c r="A379" s="1">
        <v>202412.0</v>
      </c>
      <c r="B379" s="1" t="s">
        <v>47</v>
      </c>
      <c r="C379" s="1" t="s">
        <v>51</v>
      </c>
      <c r="D379" s="1" t="s">
        <v>17</v>
      </c>
      <c r="E379" s="1">
        <v>710.0</v>
      </c>
      <c r="F379" s="1">
        <v>1538.49135</v>
      </c>
    </row>
    <row r="380" ht="14.25" customHeight="1">
      <c r="A380" s="1">
        <v>202412.0</v>
      </c>
      <c r="B380" s="1" t="s">
        <v>47</v>
      </c>
      <c r="C380" s="1" t="s">
        <v>51</v>
      </c>
      <c r="D380" s="1" t="s">
        <v>18</v>
      </c>
      <c r="E380" s="1">
        <v>14830.0</v>
      </c>
      <c r="F380" s="1">
        <v>23532.82133</v>
      </c>
    </row>
    <row r="381" ht="14.25" customHeight="1">
      <c r="A381" s="1">
        <v>202412.0</v>
      </c>
      <c r="B381" s="1" t="s">
        <v>47</v>
      </c>
      <c r="C381" s="1" t="s">
        <v>51</v>
      </c>
      <c r="D381" s="1" t="s">
        <v>19</v>
      </c>
      <c r="E381" s="1">
        <v>39.0</v>
      </c>
      <c r="F381" s="1">
        <v>814.54166</v>
      </c>
    </row>
    <row r="382" ht="14.25" customHeight="1">
      <c r="A382" s="1">
        <v>202412.0</v>
      </c>
      <c r="B382" s="1" t="s">
        <v>47</v>
      </c>
      <c r="C382" s="1" t="s">
        <v>51</v>
      </c>
      <c r="D382" s="1" t="s">
        <v>20</v>
      </c>
      <c r="E382" s="1">
        <v>221.0</v>
      </c>
      <c r="F382" s="1">
        <v>1675.60742</v>
      </c>
    </row>
    <row r="383" ht="14.25" customHeight="1">
      <c r="A383" s="1">
        <v>202412.0</v>
      </c>
      <c r="B383" s="1" t="s">
        <v>47</v>
      </c>
      <c r="C383" s="1" t="s">
        <v>51</v>
      </c>
      <c r="D383" s="1" t="s">
        <v>21</v>
      </c>
      <c r="E383" s="1">
        <v>489.0</v>
      </c>
      <c r="F383" s="1">
        <v>14546.82211</v>
      </c>
    </row>
    <row r="384" ht="14.25" customHeight="1">
      <c r="A384" s="1">
        <v>202412.0</v>
      </c>
      <c r="B384" s="1" t="s">
        <v>47</v>
      </c>
      <c r="C384" s="1" t="s">
        <v>51</v>
      </c>
      <c r="D384" s="1" t="s">
        <v>23</v>
      </c>
      <c r="E384" s="1">
        <v>20750.0</v>
      </c>
      <c r="F384" s="1">
        <v>21546.70054</v>
      </c>
    </row>
    <row r="385" ht="14.25" customHeight="1">
      <c r="A385" s="1">
        <v>202412.0</v>
      </c>
      <c r="B385" s="1" t="s">
        <v>47</v>
      </c>
      <c r="C385" s="1" t="s">
        <v>51</v>
      </c>
      <c r="D385" s="1" t="s">
        <v>24</v>
      </c>
      <c r="E385" s="1">
        <v>30.0</v>
      </c>
      <c r="F385" s="1">
        <v>712.7615</v>
      </c>
    </row>
    <row r="386" ht="14.25" customHeight="1">
      <c r="A386" s="1">
        <v>202412.0</v>
      </c>
      <c r="B386" s="1" t="s">
        <v>47</v>
      </c>
      <c r="C386" s="1" t="s">
        <v>51</v>
      </c>
      <c r="D386" s="1" t="s">
        <v>25</v>
      </c>
      <c r="E386" s="1">
        <v>1627.0</v>
      </c>
      <c r="F386" s="1">
        <v>4956.74108</v>
      </c>
    </row>
    <row r="387" ht="14.25" customHeight="1">
      <c r="A387" s="1">
        <v>202412.0</v>
      </c>
      <c r="B387" s="1" t="s">
        <v>47</v>
      </c>
      <c r="C387" s="1" t="s">
        <v>51</v>
      </c>
      <c r="D387" s="1" t="s">
        <v>26</v>
      </c>
      <c r="E387" s="1">
        <v>2185.0</v>
      </c>
      <c r="F387" s="1">
        <v>4079.39192</v>
      </c>
    </row>
    <row r="388" ht="14.25" customHeight="1">
      <c r="A388" s="1">
        <v>202412.0</v>
      </c>
      <c r="B388" s="1" t="s">
        <v>47</v>
      </c>
      <c r="C388" s="1" t="s">
        <v>51</v>
      </c>
      <c r="D388" s="1" t="s">
        <v>27</v>
      </c>
      <c r="E388" s="1">
        <v>18.0</v>
      </c>
      <c r="F388" s="1">
        <v>1833.80476</v>
      </c>
    </row>
    <row r="389" ht="14.25" customHeight="1">
      <c r="A389" s="1">
        <v>202412.0</v>
      </c>
      <c r="B389" s="1" t="s">
        <v>47</v>
      </c>
      <c r="C389" s="1" t="s">
        <v>51</v>
      </c>
      <c r="D389" s="1" t="s">
        <v>28</v>
      </c>
      <c r="E389" s="1">
        <v>46.0</v>
      </c>
      <c r="F389" s="1">
        <v>456.97796</v>
      </c>
    </row>
    <row r="390" ht="14.25" customHeight="1">
      <c r="A390" s="1">
        <v>202412.0</v>
      </c>
      <c r="B390" s="1" t="s">
        <v>47</v>
      </c>
      <c r="C390" s="1" t="s">
        <v>51</v>
      </c>
      <c r="D390" s="1" t="s">
        <v>29</v>
      </c>
      <c r="E390" s="1">
        <v>43355.0</v>
      </c>
      <c r="F390" s="1">
        <v>66283.08264</v>
      </c>
    </row>
    <row r="391" ht="14.25" customHeight="1">
      <c r="A391" s="1">
        <v>202412.0</v>
      </c>
      <c r="B391" s="1" t="s">
        <v>47</v>
      </c>
      <c r="C391" s="1" t="s">
        <v>51</v>
      </c>
      <c r="D391" s="1" t="s">
        <v>30</v>
      </c>
      <c r="E391" s="1">
        <v>1.0</v>
      </c>
      <c r="F391" s="1">
        <v>1455.0124</v>
      </c>
    </row>
    <row r="392" ht="14.25" customHeight="1">
      <c r="A392" s="1">
        <v>202412.0</v>
      </c>
      <c r="B392" s="1" t="s">
        <v>47</v>
      </c>
      <c r="C392" s="1" t="s">
        <v>51</v>
      </c>
      <c r="D392" s="1" t="s">
        <v>31</v>
      </c>
      <c r="E392" s="1">
        <v>2875.0</v>
      </c>
      <c r="F392" s="1">
        <v>7772.05221</v>
      </c>
    </row>
    <row r="393" ht="14.25" customHeight="1">
      <c r="A393" s="1">
        <v>202412.0</v>
      </c>
      <c r="B393" s="1" t="s">
        <v>47</v>
      </c>
      <c r="C393" s="1" t="s">
        <v>51</v>
      </c>
      <c r="D393" s="1" t="s">
        <v>32</v>
      </c>
      <c r="E393" s="1">
        <v>11.0</v>
      </c>
      <c r="F393" s="1">
        <v>5335.5764</v>
      </c>
    </row>
    <row r="394" ht="14.25" customHeight="1">
      <c r="A394" s="1">
        <v>202412.0</v>
      </c>
      <c r="B394" s="1" t="s">
        <v>47</v>
      </c>
      <c r="C394" s="1" t="s">
        <v>51</v>
      </c>
      <c r="D394" s="1" t="s">
        <v>33</v>
      </c>
      <c r="E394" s="1">
        <v>9216.0</v>
      </c>
      <c r="F394" s="1">
        <v>62378.10383</v>
      </c>
    </row>
    <row r="395" ht="14.25" customHeight="1">
      <c r="A395" s="1">
        <v>202412.0</v>
      </c>
      <c r="B395" s="1" t="s">
        <v>47</v>
      </c>
      <c r="C395" s="1" t="s">
        <v>51</v>
      </c>
      <c r="D395" s="1" t="s">
        <v>34</v>
      </c>
      <c r="E395" s="1">
        <v>171.0</v>
      </c>
      <c r="F395" s="1">
        <v>4456.30674</v>
      </c>
    </row>
    <row r="396" ht="14.25" customHeight="1">
      <c r="A396" s="1">
        <v>202412.0</v>
      </c>
      <c r="B396" s="1" t="s">
        <v>47</v>
      </c>
      <c r="C396" s="1" t="s">
        <v>52</v>
      </c>
      <c r="D396" s="1" t="s">
        <v>9</v>
      </c>
      <c r="E396" s="1">
        <v>11.0</v>
      </c>
      <c r="F396" s="1">
        <v>163.34973</v>
      </c>
    </row>
    <row r="397" ht="14.25" customHeight="1">
      <c r="A397" s="1">
        <v>202412.0</v>
      </c>
      <c r="B397" s="1" t="s">
        <v>47</v>
      </c>
      <c r="C397" s="1" t="s">
        <v>52</v>
      </c>
      <c r="D397" s="1" t="s">
        <v>10</v>
      </c>
      <c r="E397" s="1">
        <v>20828.0</v>
      </c>
      <c r="F397" s="1">
        <v>21866.78017</v>
      </c>
    </row>
    <row r="398" ht="14.25" customHeight="1">
      <c r="A398" s="1">
        <v>202412.0</v>
      </c>
      <c r="B398" s="1" t="s">
        <v>47</v>
      </c>
      <c r="C398" s="1" t="s">
        <v>52</v>
      </c>
      <c r="D398" s="1" t="s">
        <v>11</v>
      </c>
      <c r="E398" s="1">
        <v>13851.0</v>
      </c>
      <c r="F398" s="1">
        <v>11068.87743</v>
      </c>
    </row>
    <row r="399" ht="14.25" customHeight="1">
      <c r="A399" s="1">
        <v>202412.0</v>
      </c>
      <c r="B399" s="1" t="s">
        <v>47</v>
      </c>
      <c r="C399" s="1" t="s">
        <v>52</v>
      </c>
      <c r="D399" s="1" t="s">
        <v>12</v>
      </c>
      <c r="E399" s="1">
        <v>97.0</v>
      </c>
      <c r="F399" s="1">
        <v>1212.4604</v>
      </c>
    </row>
    <row r="400" ht="14.25" customHeight="1">
      <c r="A400" s="1">
        <v>202412.0</v>
      </c>
      <c r="B400" s="1" t="s">
        <v>47</v>
      </c>
      <c r="C400" s="1" t="s">
        <v>52</v>
      </c>
      <c r="D400" s="1" t="s">
        <v>13</v>
      </c>
      <c r="E400" s="1">
        <v>262.0</v>
      </c>
      <c r="F400" s="1">
        <v>2944.03873</v>
      </c>
    </row>
    <row r="401" ht="14.25" customHeight="1">
      <c r="A401" s="1">
        <v>202412.0</v>
      </c>
      <c r="B401" s="1" t="s">
        <v>47</v>
      </c>
      <c r="C401" s="1" t="s">
        <v>52</v>
      </c>
      <c r="D401" s="1" t="s">
        <v>14</v>
      </c>
      <c r="E401" s="1">
        <v>359.0</v>
      </c>
      <c r="F401" s="1">
        <v>4170.63515</v>
      </c>
    </row>
    <row r="402" ht="14.25" customHeight="1">
      <c r="A402" s="1">
        <v>202412.0</v>
      </c>
      <c r="B402" s="1" t="s">
        <v>47</v>
      </c>
      <c r="C402" s="1" t="s">
        <v>52</v>
      </c>
      <c r="D402" s="1" t="s">
        <v>15</v>
      </c>
      <c r="E402" s="1">
        <v>12.0</v>
      </c>
      <c r="F402" s="1">
        <v>2224.5424</v>
      </c>
    </row>
    <row r="403" ht="14.25" customHeight="1">
      <c r="A403" s="1">
        <v>202412.0</v>
      </c>
      <c r="B403" s="1" t="s">
        <v>47</v>
      </c>
      <c r="C403" s="1" t="s">
        <v>52</v>
      </c>
      <c r="D403" s="1" t="s">
        <v>16</v>
      </c>
      <c r="E403" s="1">
        <v>5512.0</v>
      </c>
      <c r="F403" s="1">
        <v>16868.21052</v>
      </c>
    </row>
    <row r="404" ht="14.25" customHeight="1">
      <c r="A404" s="1">
        <v>202412.0</v>
      </c>
      <c r="B404" s="1" t="s">
        <v>47</v>
      </c>
      <c r="C404" s="1" t="s">
        <v>52</v>
      </c>
      <c r="D404" s="1" t="s">
        <v>17</v>
      </c>
      <c r="E404" s="1">
        <v>2505.0</v>
      </c>
      <c r="F404" s="1">
        <v>4992.72607</v>
      </c>
    </row>
    <row r="405" ht="14.25" customHeight="1">
      <c r="A405" s="1">
        <v>202412.0</v>
      </c>
      <c r="B405" s="1" t="s">
        <v>47</v>
      </c>
      <c r="C405" s="1" t="s">
        <v>52</v>
      </c>
      <c r="D405" s="1" t="s">
        <v>18</v>
      </c>
      <c r="E405" s="1">
        <v>8784.0</v>
      </c>
      <c r="F405" s="1">
        <v>13535.94014</v>
      </c>
    </row>
    <row r="406" ht="14.25" customHeight="1">
      <c r="A406" s="1">
        <v>202412.0</v>
      </c>
      <c r="B406" s="1" t="s">
        <v>47</v>
      </c>
      <c r="C406" s="1" t="s">
        <v>52</v>
      </c>
      <c r="D406" s="1" t="s">
        <v>19</v>
      </c>
      <c r="E406" s="1">
        <v>20.0</v>
      </c>
      <c r="F406" s="1">
        <v>340.70988</v>
      </c>
    </row>
    <row r="407" ht="14.25" customHeight="1">
      <c r="A407" s="1">
        <v>202412.0</v>
      </c>
      <c r="B407" s="1" t="s">
        <v>47</v>
      </c>
      <c r="C407" s="1" t="s">
        <v>52</v>
      </c>
      <c r="D407" s="1" t="s">
        <v>20</v>
      </c>
      <c r="E407" s="1">
        <v>117.0</v>
      </c>
      <c r="F407" s="1">
        <v>358.36106</v>
      </c>
    </row>
    <row r="408" ht="14.25" customHeight="1">
      <c r="A408" s="1">
        <v>202412.0</v>
      </c>
      <c r="B408" s="1" t="s">
        <v>47</v>
      </c>
      <c r="C408" s="1" t="s">
        <v>52</v>
      </c>
      <c r="D408" s="1" t="s">
        <v>37</v>
      </c>
      <c r="E408" s="1">
        <v>1.0</v>
      </c>
      <c r="F408" s="1">
        <v>431.6824</v>
      </c>
    </row>
    <row r="409" ht="14.25" customHeight="1">
      <c r="A409" s="1">
        <v>202412.0</v>
      </c>
      <c r="B409" s="1" t="s">
        <v>47</v>
      </c>
      <c r="C409" s="1" t="s">
        <v>52</v>
      </c>
      <c r="D409" s="1" t="s">
        <v>21</v>
      </c>
      <c r="E409" s="1">
        <v>100.0</v>
      </c>
      <c r="F409" s="1">
        <v>2846.08617</v>
      </c>
    </row>
    <row r="410" ht="14.25" customHeight="1">
      <c r="A410" s="1">
        <v>202412.0</v>
      </c>
      <c r="B410" s="1" t="s">
        <v>47</v>
      </c>
      <c r="C410" s="1" t="s">
        <v>52</v>
      </c>
      <c r="D410" s="1" t="s">
        <v>23</v>
      </c>
      <c r="E410" s="1">
        <v>14196.0</v>
      </c>
      <c r="F410" s="1">
        <v>15444.96258</v>
      </c>
    </row>
    <row r="411" ht="14.25" customHeight="1">
      <c r="A411" s="1">
        <v>202412.0</v>
      </c>
      <c r="B411" s="1" t="s">
        <v>47</v>
      </c>
      <c r="C411" s="1" t="s">
        <v>52</v>
      </c>
      <c r="D411" s="1" t="s">
        <v>24</v>
      </c>
      <c r="E411" s="1">
        <v>2.0</v>
      </c>
      <c r="F411" s="1">
        <v>42.65583</v>
      </c>
    </row>
    <row r="412" ht="14.25" customHeight="1">
      <c r="A412" s="1">
        <v>202412.0</v>
      </c>
      <c r="B412" s="1" t="s">
        <v>47</v>
      </c>
      <c r="C412" s="1" t="s">
        <v>52</v>
      </c>
      <c r="D412" s="1" t="s">
        <v>25</v>
      </c>
      <c r="E412" s="1">
        <v>745.0</v>
      </c>
      <c r="F412" s="1">
        <v>2246.11152</v>
      </c>
    </row>
    <row r="413" ht="14.25" customHeight="1">
      <c r="A413" s="1">
        <v>202412.0</v>
      </c>
      <c r="B413" s="1" t="s">
        <v>47</v>
      </c>
      <c r="C413" s="1" t="s">
        <v>52</v>
      </c>
      <c r="D413" s="1" t="s">
        <v>26</v>
      </c>
      <c r="E413" s="1">
        <v>1674.0</v>
      </c>
      <c r="F413" s="1">
        <v>3526.43296</v>
      </c>
    </row>
    <row r="414" ht="14.25" customHeight="1">
      <c r="A414" s="1">
        <v>202412.0</v>
      </c>
      <c r="B414" s="1" t="s">
        <v>47</v>
      </c>
      <c r="C414" s="1" t="s">
        <v>52</v>
      </c>
      <c r="D414" s="1" t="s">
        <v>27</v>
      </c>
      <c r="E414" s="1">
        <v>1.0</v>
      </c>
      <c r="F414" s="1">
        <v>100.9124</v>
      </c>
    </row>
    <row r="415" ht="14.25" customHeight="1">
      <c r="A415" s="1">
        <v>202412.0</v>
      </c>
      <c r="B415" s="1" t="s">
        <v>47</v>
      </c>
      <c r="C415" s="1" t="s">
        <v>52</v>
      </c>
      <c r="D415" s="1" t="s">
        <v>28</v>
      </c>
      <c r="E415" s="1">
        <v>14.0</v>
      </c>
      <c r="F415" s="1">
        <v>250.66872</v>
      </c>
    </row>
    <row r="416" ht="14.25" customHeight="1">
      <c r="A416" s="1">
        <v>202412.0</v>
      </c>
      <c r="B416" s="1" t="s">
        <v>47</v>
      </c>
      <c r="C416" s="1" t="s">
        <v>52</v>
      </c>
      <c r="D416" s="1" t="s">
        <v>29</v>
      </c>
      <c r="E416" s="1">
        <v>29480.0</v>
      </c>
      <c r="F416" s="1">
        <v>49945.32813</v>
      </c>
    </row>
    <row r="417" ht="14.25" customHeight="1">
      <c r="A417" s="1">
        <v>202412.0</v>
      </c>
      <c r="B417" s="1" t="s">
        <v>47</v>
      </c>
      <c r="C417" s="1" t="s">
        <v>52</v>
      </c>
      <c r="D417" s="1" t="s">
        <v>30</v>
      </c>
      <c r="E417" s="1">
        <v>6.0</v>
      </c>
      <c r="F417" s="1">
        <v>6076.07605</v>
      </c>
    </row>
    <row r="418" ht="14.25" customHeight="1">
      <c r="A418" s="1">
        <v>202412.0</v>
      </c>
      <c r="B418" s="1" t="s">
        <v>47</v>
      </c>
      <c r="C418" s="1" t="s">
        <v>52</v>
      </c>
      <c r="D418" s="1" t="s">
        <v>31</v>
      </c>
      <c r="E418" s="1">
        <v>465.0</v>
      </c>
      <c r="F418" s="1">
        <v>758.18273</v>
      </c>
    </row>
    <row r="419" ht="14.25" customHeight="1">
      <c r="A419" s="1">
        <v>202412.0</v>
      </c>
      <c r="B419" s="1" t="s">
        <v>47</v>
      </c>
      <c r="C419" s="1" t="s">
        <v>52</v>
      </c>
      <c r="D419" s="1" t="s">
        <v>32</v>
      </c>
      <c r="E419" s="1">
        <v>11.0</v>
      </c>
      <c r="F419" s="1">
        <v>2719.41613</v>
      </c>
    </row>
    <row r="420" ht="14.25" customHeight="1">
      <c r="A420" s="1">
        <v>202412.0</v>
      </c>
      <c r="B420" s="1" t="s">
        <v>47</v>
      </c>
      <c r="C420" s="1" t="s">
        <v>52</v>
      </c>
      <c r="D420" s="1" t="s">
        <v>33</v>
      </c>
      <c r="E420" s="1">
        <v>7477.0</v>
      </c>
      <c r="F420" s="1">
        <v>68967.4643</v>
      </c>
    </row>
    <row r="421" ht="14.25" customHeight="1">
      <c r="A421" s="1">
        <v>202412.0</v>
      </c>
      <c r="B421" s="1" t="s">
        <v>47</v>
      </c>
      <c r="C421" s="1" t="s">
        <v>52</v>
      </c>
      <c r="D421" s="1" t="s">
        <v>34</v>
      </c>
      <c r="E421" s="1">
        <v>195.0</v>
      </c>
      <c r="F421" s="1">
        <v>5324.41573</v>
      </c>
    </row>
    <row r="422" ht="14.25" customHeight="1">
      <c r="A422" s="1">
        <v>202412.0</v>
      </c>
      <c r="B422" s="1" t="s">
        <v>47</v>
      </c>
      <c r="C422" s="1" t="s">
        <v>53</v>
      </c>
      <c r="D422" s="1" t="s">
        <v>9</v>
      </c>
      <c r="E422" s="1">
        <v>60.0</v>
      </c>
      <c r="F422" s="1">
        <v>933.10908</v>
      </c>
    </row>
    <row r="423" ht="14.25" customHeight="1">
      <c r="A423" s="1">
        <v>202412.0</v>
      </c>
      <c r="B423" s="1" t="s">
        <v>47</v>
      </c>
      <c r="C423" s="1" t="s">
        <v>53</v>
      </c>
      <c r="D423" s="1" t="s">
        <v>10</v>
      </c>
      <c r="E423" s="1">
        <v>25860.0</v>
      </c>
      <c r="F423" s="1">
        <v>25505.5567</v>
      </c>
    </row>
    <row r="424" ht="14.25" customHeight="1">
      <c r="A424" s="1">
        <v>202412.0</v>
      </c>
      <c r="B424" s="1" t="s">
        <v>47</v>
      </c>
      <c r="C424" s="1" t="s">
        <v>53</v>
      </c>
      <c r="D424" s="1" t="s">
        <v>11</v>
      </c>
      <c r="E424" s="1">
        <v>21569.0</v>
      </c>
      <c r="F424" s="1">
        <v>14611.74418</v>
      </c>
    </row>
    <row r="425" ht="14.25" customHeight="1">
      <c r="A425" s="1">
        <v>202412.0</v>
      </c>
      <c r="B425" s="1" t="s">
        <v>47</v>
      </c>
      <c r="C425" s="1" t="s">
        <v>53</v>
      </c>
      <c r="D425" s="1" t="s">
        <v>12</v>
      </c>
      <c r="E425" s="1">
        <v>84.0</v>
      </c>
      <c r="F425" s="1">
        <v>1049.98322</v>
      </c>
    </row>
    <row r="426" ht="14.25" customHeight="1">
      <c r="A426" s="1">
        <v>202412.0</v>
      </c>
      <c r="B426" s="1" t="s">
        <v>47</v>
      </c>
      <c r="C426" s="1" t="s">
        <v>53</v>
      </c>
      <c r="D426" s="1" t="s">
        <v>13</v>
      </c>
      <c r="E426" s="1">
        <v>288.0</v>
      </c>
      <c r="F426" s="1">
        <v>3652.88979</v>
      </c>
    </row>
    <row r="427" ht="14.25" customHeight="1">
      <c r="A427" s="1">
        <v>202412.0</v>
      </c>
      <c r="B427" s="1" t="s">
        <v>47</v>
      </c>
      <c r="C427" s="1" t="s">
        <v>53</v>
      </c>
      <c r="D427" s="1" t="s">
        <v>14</v>
      </c>
      <c r="E427" s="1">
        <v>572.0</v>
      </c>
      <c r="F427" s="1">
        <v>5968.76947</v>
      </c>
    </row>
    <row r="428" ht="14.25" customHeight="1">
      <c r="A428" s="1">
        <v>202412.0</v>
      </c>
      <c r="B428" s="1" t="s">
        <v>47</v>
      </c>
      <c r="C428" s="1" t="s">
        <v>53</v>
      </c>
      <c r="D428" s="1" t="s">
        <v>15</v>
      </c>
      <c r="E428" s="1">
        <v>30.0</v>
      </c>
      <c r="F428" s="1">
        <v>3271.022</v>
      </c>
    </row>
    <row r="429" ht="14.25" customHeight="1">
      <c r="A429" s="1">
        <v>202412.0</v>
      </c>
      <c r="B429" s="1" t="s">
        <v>47</v>
      </c>
      <c r="C429" s="1" t="s">
        <v>53</v>
      </c>
      <c r="D429" s="1" t="s">
        <v>16</v>
      </c>
      <c r="E429" s="1">
        <v>8076.0</v>
      </c>
      <c r="F429" s="1">
        <v>23188.00254</v>
      </c>
    </row>
    <row r="430" ht="14.25" customHeight="1">
      <c r="A430" s="1">
        <v>202412.0</v>
      </c>
      <c r="B430" s="1" t="s">
        <v>47</v>
      </c>
      <c r="C430" s="1" t="s">
        <v>53</v>
      </c>
      <c r="D430" s="1" t="s">
        <v>17</v>
      </c>
      <c r="E430" s="1">
        <v>1538.0</v>
      </c>
      <c r="F430" s="1">
        <v>3115.43287</v>
      </c>
    </row>
    <row r="431" ht="14.25" customHeight="1">
      <c r="A431" s="1">
        <v>202412.0</v>
      </c>
      <c r="B431" s="1" t="s">
        <v>47</v>
      </c>
      <c r="C431" s="1" t="s">
        <v>53</v>
      </c>
      <c r="D431" s="1" t="s">
        <v>18</v>
      </c>
      <c r="E431" s="1">
        <v>12092.0</v>
      </c>
      <c r="F431" s="1">
        <v>18979.41704</v>
      </c>
    </row>
    <row r="432" ht="14.25" customHeight="1">
      <c r="A432" s="1">
        <v>202412.0</v>
      </c>
      <c r="B432" s="1" t="s">
        <v>47</v>
      </c>
      <c r="C432" s="1" t="s">
        <v>53</v>
      </c>
      <c r="D432" s="1" t="s">
        <v>19</v>
      </c>
      <c r="E432" s="1">
        <v>40.0</v>
      </c>
      <c r="F432" s="1">
        <v>873.52542</v>
      </c>
    </row>
    <row r="433" ht="14.25" customHeight="1">
      <c r="A433" s="1">
        <v>202412.0</v>
      </c>
      <c r="B433" s="1" t="s">
        <v>47</v>
      </c>
      <c r="C433" s="1" t="s">
        <v>53</v>
      </c>
      <c r="D433" s="1" t="s">
        <v>20</v>
      </c>
      <c r="E433" s="1">
        <v>120.0</v>
      </c>
      <c r="F433" s="1">
        <v>348.64757</v>
      </c>
    </row>
    <row r="434" ht="14.25" customHeight="1">
      <c r="A434" s="1">
        <v>202412.0</v>
      </c>
      <c r="B434" s="1" t="s">
        <v>47</v>
      </c>
      <c r="C434" s="1" t="s">
        <v>53</v>
      </c>
      <c r="D434" s="1" t="s">
        <v>37</v>
      </c>
      <c r="E434" s="1">
        <v>5.0</v>
      </c>
      <c r="F434" s="1">
        <v>719.732</v>
      </c>
    </row>
    <row r="435" ht="14.25" customHeight="1">
      <c r="A435" s="1">
        <v>202412.0</v>
      </c>
      <c r="B435" s="1" t="s">
        <v>47</v>
      </c>
      <c r="C435" s="1" t="s">
        <v>53</v>
      </c>
      <c r="D435" s="1" t="s">
        <v>21</v>
      </c>
      <c r="E435" s="1">
        <v>271.0</v>
      </c>
      <c r="F435" s="1">
        <v>6665.86806</v>
      </c>
    </row>
    <row r="436" ht="14.25" customHeight="1">
      <c r="A436" s="1">
        <v>202412.0</v>
      </c>
      <c r="B436" s="1" t="s">
        <v>47</v>
      </c>
      <c r="C436" s="1" t="s">
        <v>53</v>
      </c>
      <c r="D436" s="1" t="s">
        <v>22</v>
      </c>
      <c r="E436" s="1">
        <v>1.0</v>
      </c>
      <c r="F436" s="1">
        <v>112.3724</v>
      </c>
    </row>
    <row r="437" ht="14.25" customHeight="1">
      <c r="A437" s="1">
        <v>202412.0</v>
      </c>
      <c r="B437" s="1" t="s">
        <v>47</v>
      </c>
      <c r="C437" s="1" t="s">
        <v>53</v>
      </c>
      <c r="D437" s="1" t="s">
        <v>23</v>
      </c>
      <c r="E437" s="1">
        <v>20242.0</v>
      </c>
      <c r="F437" s="1">
        <v>21816.9766</v>
      </c>
    </row>
    <row r="438" ht="14.25" customHeight="1">
      <c r="A438" s="1">
        <v>202412.0</v>
      </c>
      <c r="B438" s="1" t="s">
        <v>47</v>
      </c>
      <c r="C438" s="1" t="s">
        <v>53</v>
      </c>
      <c r="D438" s="1" t="s">
        <v>24</v>
      </c>
      <c r="E438" s="1">
        <v>22.0</v>
      </c>
      <c r="F438" s="1">
        <v>375.0867</v>
      </c>
    </row>
    <row r="439" ht="14.25" customHeight="1">
      <c r="A439" s="1">
        <v>202412.0</v>
      </c>
      <c r="B439" s="1" t="s">
        <v>47</v>
      </c>
      <c r="C439" s="1" t="s">
        <v>53</v>
      </c>
      <c r="D439" s="1" t="s">
        <v>25</v>
      </c>
      <c r="E439" s="1">
        <v>1867.0</v>
      </c>
      <c r="F439" s="1">
        <v>9805.721</v>
      </c>
    </row>
    <row r="440" ht="14.25" customHeight="1">
      <c r="A440" s="1">
        <v>202412.0</v>
      </c>
      <c r="B440" s="1" t="s">
        <v>47</v>
      </c>
      <c r="C440" s="1" t="s">
        <v>53</v>
      </c>
      <c r="D440" s="1" t="s">
        <v>26</v>
      </c>
      <c r="E440" s="1">
        <v>2269.0</v>
      </c>
      <c r="F440" s="1">
        <v>4514.29263</v>
      </c>
    </row>
    <row r="441" ht="14.25" customHeight="1">
      <c r="A441" s="1">
        <v>202412.0</v>
      </c>
      <c r="B441" s="1" t="s">
        <v>47</v>
      </c>
      <c r="C441" s="1" t="s">
        <v>53</v>
      </c>
      <c r="D441" s="1" t="s">
        <v>27</v>
      </c>
      <c r="E441" s="1">
        <v>10.0</v>
      </c>
      <c r="F441" s="1">
        <v>1234.724</v>
      </c>
    </row>
    <row r="442" ht="14.25" customHeight="1">
      <c r="A442" s="1">
        <v>202412.0</v>
      </c>
      <c r="B442" s="1" t="s">
        <v>47</v>
      </c>
      <c r="C442" s="1" t="s">
        <v>53</v>
      </c>
      <c r="D442" s="1" t="s">
        <v>28</v>
      </c>
      <c r="E442" s="1">
        <v>39.0</v>
      </c>
      <c r="F442" s="1">
        <v>586.65219</v>
      </c>
    </row>
    <row r="443" ht="14.25" customHeight="1">
      <c r="A443" s="1">
        <v>202412.0</v>
      </c>
      <c r="B443" s="1" t="s">
        <v>47</v>
      </c>
      <c r="C443" s="1" t="s">
        <v>53</v>
      </c>
      <c r="D443" s="1" t="s">
        <v>29</v>
      </c>
      <c r="E443" s="1">
        <v>40381.0</v>
      </c>
      <c r="F443" s="1">
        <v>88490.54524</v>
      </c>
    </row>
    <row r="444" ht="14.25" customHeight="1">
      <c r="A444" s="1">
        <v>202412.0</v>
      </c>
      <c r="B444" s="1" t="s">
        <v>47</v>
      </c>
      <c r="C444" s="1" t="s">
        <v>53</v>
      </c>
      <c r="D444" s="1" t="s">
        <v>31</v>
      </c>
      <c r="E444" s="1">
        <v>822.0</v>
      </c>
      <c r="F444" s="1">
        <v>3259.42775</v>
      </c>
    </row>
    <row r="445" ht="14.25" customHeight="1">
      <c r="A445" s="1">
        <v>202412.0</v>
      </c>
      <c r="B445" s="1" t="s">
        <v>47</v>
      </c>
      <c r="C445" s="1" t="s">
        <v>53</v>
      </c>
      <c r="D445" s="1" t="s">
        <v>32</v>
      </c>
      <c r="E445" s="1">
        <v>9.0</v>
      </c>
      <c r="F445" s="1">
        <v>2197.7316</v>
      </c>
    </row>
    <row r="446" ht="14.25" customHeight="1">
      <c r="A446" s="1">
        <v>202412.0</v>
      </c>
      <c r="B446" s="1" t="s">
        <v>47</v>
      </c>
      <c r="C446" s="1" t="s">
        <v>53</v>
      </c>
      <c r="D446" s="1" t="s">
        <v>33</v>
      </c>
      <c r="E446" s="1">
        <v>9830.0</v>
      </c>
      <c r="F446" s="1">
        <v>75968.22709</v>
      </c>
    </row>
    <row r="447" ht="14.25" customHeight="1">
      <c r="A447" s="1">
        <v>202412.0</v>
      </c>
      <c r="B447" s="1" t="s">
        <v>47</v>
      </c>
      <c r="C447" s="1" t="s">
        <v>53</v>
      </c>
      <c r="D447" s="1" t="s">
        <v>34</v>
      </c>
      <c r="E447" s="1">
        <v>793.0</v>
      </c>
      <c r="F447" s="1">
        <v>16882.24885</v>
      </c>
    </row>
    <row r="448" ht="14.25" customHeight="1">
      <c r="A448" s="1">
        <v>202412.0</v>
      </c>
      <c r="B448" s="1" t="s">
        <v>47</v>
      </c>
      <c r="C448" s="1" t="s">
        <v>54</v>
      </c>
      <c r="D448" s="1" t="s">
        <v>9</v>
      </c>
      <c r="E448" s="1">
        <v>22.0</v>
      </c>
      <c r="F448" s="1">
        <v>355.3346</v>
      </c>
    </row>
    <row r="449" ht="14.25" customHeight="1">
      <c r="A449" s="1">
        <v>202412.0</v>
      </c>
      <c r="B449" s="1" t="s">
        <v>47</v>
      </c>
      <c r="C449" s="1" t="s">
        <v>54</v>
      </c>
      <c r="D449" s="1" t="s">
        <v>10</v>
      </c>
      <c r="E449" s="1">
        <v>28838.0</v>
      </c>
      <c r="F449" s="1">
        <v>25863.31651</v>
      </c>
    </row>
    <row r="450" ht="14.25" customHeight="1">
      <c r="A450" s="1">
        <v>202412.0</v>
      </c>
      <c r="B450" s="1" t="s">
        <v>47</v>
      </c>
      <c r="C450" s="1" t="s">
        <v>54</v>
      </c>
      <c r="D450" s="1" t="s">
        <v>11</v>
      </c>
      <c r="E450" s="1">
        <v>24520.0</v>
      </c>
      <c r="F450" s="1">
        <v>14526.58714</v>
      </c>
    </row>
    <row r="451" ht="14.25" customHeight="1">
      <c r="A451" s="1">
        <v>202412.0</v>
      </c>
      <c r="B451" s="1" t="s">
        <v>47</v>
      </c>
      <c r="C451" s="1" t="s">
        <v>54</v>
      </c>
      <c r="D451" s="1" t="s">
        <v>12</v>
      </c>
      <c r="E451" s="1">
        <v>90.0</v>
      </c>
      <c r="F451" s="1">
        <v>1014.29775</v>
      </c>
    </row>
    <row r="452" ht="14.25" customHeight="1">
      <c r="A452" s="1">
        <v>202412.0</v>
      </c>
      <c r="B452" s="1" t="s">
        <v>47</v>
      </c>
      <c r="C452" s="1" t="s">
        <v>54</v>
      </c>
      <c r="D452" s="1" t="s">
        <v>13</v>
      </c>
      <c r="E452" s="1">
        <v>345.0</v>
      </c>
      <c r="F452" s="1">
        <v>3414.00565</v>
      </c>
    </row>
    <row r="453" ht="14.25" customHeight="1">
      <c r="A453" s="1">
        <v>202412.0</v>
      </c>
      <c r="B453" s="1" t="s">
        <v>47</v>
      </c>
      <c r="C453" s="1" t="s">
        <v>54</v>
      </c>
      <c r="D453" s="1" t="s">
        <v>14</v>
      </c>
      <c r="E453" s="1">
        <v>674.0</v>
      </c>
      <c r="F453" s="1">
        <v>6163.09098</v>
      </c>
    </row>
    <row r="454" ht="14.25" customHeight="1">
      <c r="A454" s="1">
        <v>202412.0</v>
      </c>
      <c r="B454" s="1" t="s">
        <v>47</v>
      </c>
      <c r="C454" s="1" t="s">
        <v>54</v>
      </c>
      <c r="D454" s="1" t="s">
        <v>15</v>
      </c>
      <c r="E454" s="1">
        <v>50.0</v>
      </c>
      <c r="F454" s="1">
        <v>6531.46216</v>
      </c>
    </row>
    <row r="455" ht="14.25" customHeight="1">
      <c r="A455" s="1">
        <v>202412.0</v>
      </c>
      <c r="B455" s="1" t="s">
        <v>47</v>
      </c>
      <c r="C455" s="1" t="s">
        <v>54</v>
      </c>
      <c r="D455" s="1" t="s">
        <v>16</v>
      </c>
      <c r="E455" s="1">
        <v>8664.0</v>
      </c>
      <c r="F455" s="1">
        <v>23256.46012</v>
      </c>
    </row>
    <row r="456" ht="14.25" customHeight="1">
      <c r="A456" s="1">
        <v>202412.0</v>
      </c>
      <c r="B456" s="1" t="s">
        <v>47</v>
      </c>
      <c r="C456" s="1" t="s">
        <v>54</v>
      </c>
      <c r="D456" s="1" t="s">
        <v>17</v>
      </c>
      <c r="E456" s="1">
        <v>5136.0</v>
      </c>
      <c r="F456" s="1">
        <v>8835.39008</v>
      </c>
    </row>
    <row r="457" ht="14.25" customHeight="1">
      <c r="A457" s="1">
        <v>202412.0</v>
      </c>
      <c r="B457" s="1" t="s">
        <v>47</v>
      </c>
      <c r="C457" s="1" t="s">
        <v>54</v>
      </c>
      <c r="D457" s="1" t="s">
        <v>18</v>
      </c>
      <c r="E457" s="1">
        <v>13756.0</v>
      </c>
      <c r="F457" s="1">
        <v>20792.05676</v>
      </c>
    </row>
    <row r="458" ht="14.25" customHeight="1">
      <c r="A458" s="1">
        <v>202412.0</v>
      </c>
      <c r="B458" s="1" t="s">
        <v>47</v>
      </c>
      <c r="C458" s="1" t="s">
        <v>54</v>
      </c>
      <c r="D458" s="1" t="s">
        <v>19</v>
      </c>
      <c r="E458" s="1">
        <v>12.0</v>
      </c>
      <c r="F458" s="1">
        <v>215.32958</v>
      </c>
    </row>
    <row r="459" ht="14.25" customHeight="1">
      <c r="A459" s="1">
        <v>202412.0</v>
      </c>
      <c r="B459" s="1" t="s">
        <v>47</v>
      </c>
      <c r="C459" s="1" t="s">
        <v>54</v>
      </c>
      <c r="D459" s="1" t="s">
        <v>20</v>
      </c>
      <c r="E459" s="1">
        <v>167.0</v>
      </c>
      <c r="F459" s="1">
        <v>399.24227</v>
      </c>
    </row>
    <row r="460" ht="14.25" customHeight="1">
      <c r="A460" s="1">
        <v>202412.0</v>
      </c>
      <c r="B460" s="1" t="s">
        <v>47</v>
      </c>
      <c r="C460" s="1" t="s">
        <v>54</v>
      </c>
      <c r="D460" s="1" t="s">
        <v>21</v>
      </c>
      <c r="E460" s="1">
        <v>237.0</v>
      </c>
      <c r="F460" s="1">
        <v>5642.55287</v>
      </c>
    </row>
    <row r="461" ht="14.25" customHeight="1">
      <c r="A461" s="1">
        <v>202412.0</v>
      </c>
      <c r="B461" s="1" t="s">
        <v>47</v>
      </c>
      <c r="C461" s="1" t="s">
        <v>54</v>
      </c>
      <c r="D461" s="1" t="s">
        <v>23</v>
      </c>
      <c r="E461" s="1">
        <v>16118.0</v>
      </c>
      <c r="F461" s="1">
        <v>15256.9889</v>
      </c>
    </row>
    <row r="462" ht="14.25" customHeight="1">
      <c r="A462" s="1">
        <v>202412.0</v>
      </c>
      <c r="B462" s="1" t="s">
        <v>47</v>
      </c>
      <c r="C462" s="1" t="s">
        <v>54</v>
      </c>
      <c r="D462" s="1" t="s">
        <v>24</v>
      </c>
      <c r="E462" s="1">
        <v>11.0</v>
      </c>
      <c r="F462" s="1">
        <v>231.08467</v>
      </c>
    </row>
    <row r="463" ht="14.25" customHeight="1">
      <c r="A463" s="1">
        <v>202412.0</v>
      </c>
      <c r="B463" s="1" t="s">
        <v>47</v>
      </c>
      <c r="C463" s="1" t="s">
        <v>54</v>
      </c>
      <c r="D463" s="1" t="s">
        <v>25</v>
      </c>
      <c r="E463" s="1">
        <v>1256.0</v>
      </c>
      <c r="F463" s="1">
        <v>4474.76606</v>
      </c>
    </row>
    <row r="464" ht="14.25" customHeight="1">
      <c r="A464" s="1">
        <v>202412.0</v>
      </c>
      <c r="B464" s="1" t="s">
        <v>47</v>
      </c>
      <c r="C464" s="1" t="s">
        <v>54</v>
      </c>
      <c r="D464" s="1" t="s">
        <v>26</v>
      </c>
      <c r="E464" s="1">
        <v>1496.0</v>
      </c>
      <c r="F464" s="1">
        <v>2613.88144</v>
      </c>
    </row>
    <row r="465" ht="14.25" customHeight="1">
      <c r="A465" s="1">
        <v>202412.0</v>
      </c>
      <c r="B465" s="1" t="s">
        <v>47</v>
      </c>
      <c r="C465" s="1" t="s">
        <v>54</v>
      </c>
      <c r="D465" s="1" t="s">
        <v>27</v>
      </c>
      <c r="E465" s="1">
        <v>3.0</v>
      </c>
      <c r="F465" s="1">
        <v>389.0372</v>
      </c>
    </row>
    <row r="466" ht="14.25" customHeight="1">
      <c r="A466" s="1">
        <v>202412.0</v>
      </c>
      <c r="B466" s="1" t="s">
        <v>47</v>
      </c>
      <c r="C466" s="1" t="s">
        <v>54</v>
      </c>
      <c r="D466" s="1" t="s">
        <v>28</v>
      </c>
      <c r="E466" s="1">
        <v>36.0</v>
      </c>
      <c r="F466" s="1">
        <v>533.7815</v>
      </c>
    </row>
    <row r="467" ht="14.25" customHeight="1">
      <c r="A467" s="1">
        <v>202412.0</v>
      </c>
      <c r="B467" s="1" t="s">
        <v>47</v>
      </c>
      <c r="C467" s="1" t="s">
        <v>54</v>
      </c>
      <c r="D467" s="1" t="s">
        <v>29</v>
      </c>
      <c r="E467" s="1">
        <v>34985.0</v>
      </c>
      <c r="F467" s="1">
        <v>60427.46766</v>
      </c>
    </row>
    <row r="468" ht="14.25" customHeight="1">
      <c r="A468" s="1">
        <v>202412.0</v>
      </c>
      <c r="B468" s="1" t="s">
        <v>47</v>
      </c>
      <c r="C468" s="1" t="s">
        <v>54</v>
      </c>
      <c r="D468" s="1" t="s">
        <v>30</v>
      </c>
      <c r="E468" s="1">
        <v>5.0</v>
      </c>
      <c r="F468" s="1">
        <v>5230.142</v>
      </c>
    </row>
    <row r="469" ht="14.25" customHeight="1">
      <c r="A469" s="1">
        <v>202412.0</v>
      </c>
      <c r="B469" s="1" t="s">
        <v>47</v>
      </c>
      <c r="C469" s="1" t="s">
        <v>54</v>
      </c>
      <c r="D469" s="1" t="s">
        <v>31</v>
      </c>
      <c r="E469" s="1">
        <v>2008.0</v>
      </c>
      <c r="F469" s="1">
        <v>4972.72395</v>
      </c>
    </row>
    <row r="470" ht="14.25" customHeight="1">
      <c r="A470" s="1">
        <v>202412.0</v>
      </c>
      <c r="B470" s="1" t="s">
        <v>47</v>
      </c>
      <c r="C470" s="1" t="s">
        <v>54</v>
      </c>
      <c r="D470" s="1" t="s">
        <v>32</v>
      </c>
      <c r="E470" s="1">
        <v>30.0</v>
      </c>
      <c r="F470" s="1">
        <v>6122.78198</v>
      </c>
    </row>
    <row r="471" ht="14.25" customHeight="1">
      <c r="A471" s="1">
        <v>202412.0</v>
      </c>
      <c r="B471" s="1" t="s">
        <v>47</v>
      </c>
      <c r="C471" s="1" t="s">
        <v>54</v>
      </c>
      <c r="D471" s="1" t="s">
        <v>33</v>
      </c>
      <c r="E471" s="1">
        <v>10065.0</v>
      </c>
      <c r="F471" s="1">
        <v>74732.19607</v>
      </c>
    </row>
    <row r="472" ht="14.25" customHeight="1">
      <c r="A472" s="1">
        <v>202412.0</v>
      </c>
      <c r="B472" s="1" t="s">
        <v>47</v>
      </c>
      <c r="C472" s="1" t="s">
        <v>54</v>
      </c>
      <c r="D472" s="1" t="s">
        <v>34</v>
      </c>
      <c r="E472" s="1">
        <v>379.0</v>
      </c>
      <c r="F472" s="1">
        <v>7005.68449</v>
      </c>
    </row>
    <row r="473" ht="14.25" customHeight="1">
      <c r="A473" s="1">
        <v>202412.0</v>
      </c>
      <c r="B473" s="1" t="s">
        <v>47</v>
      </c>
      <c r="C473" s="1" t="s">
        <v>55</v>
      </c>
      <c r="D473" s="1" t="s">
        <v>9</v>
      </c>
      <c r="E473" s="1">
        <v>10.0</v>
      </c>
      <c r="F473" s="1">
        <v>193.46485</v>
      </c>
    </row>
    <row r="474" ht="14.25" customHeight="1">
      <c r="A474" s="1">
        <v>202412.0</v>
      </c>
      <c r="B474" s="1" t="s">
        <v>47</v>
      </c>
      <c r="C474" s="1" t="s">
        <v>55</v>
      </c>
      <c r="D474" s="1" t="s">
        <v>10</v>
      </c>
      <c r="E474" s="1">
        <v>20202.0</v>
      </c>
      <c r="F474" s="1">
        <v>18865.86404</v>
      </c>
    </row>
    <row r="475" ht="14.25" customHeight="1">
      <c r="A475" s="1">
        <v>202412.0</v>
      </c>
      <c r="B475" s="1" t="s">
        <v>47</v>
      </c>
      <c r="C475" s="1" t="s">
        <v>55</v>
      </c>
      <c r="D475" s="1" t="s">
        <v>11</v>
      </c>
      <c r="E475" s="1">
        <v>17606.0</v>
      </c>
      <c r="F475" s="1">
        <v>10596.58094</v>
      </c>
    </row>
    <row r="476" ht="14.25" customHeight="1">
      <c r="A476" s="1">
        <v>202412.0</v>
      </c>
      <c r="B476" s="1" t="s">
        <v>47</v>
      </c>
      <c r="C476" s="1" t="s">
        <v>55</v>
      </c>
      <c r="D476" s="1" t="s">
        <v>12</v>
      </c>
      <c r="E476" s="1">
        <v>71.0</v>
      </c>
      <c r="F476" s="1">
        <v>820.27243</v>
      </c>
    </row>
    <row r="477" ht="14.25" customHeight="1">
      <c r="A477" s="1">
        <v>202412.0</v>
      </c>
      <c r="B477" s="1" t="s">
        <v>47</v>
      </c>
      <c r="C477" s="1" t="s">
        <v>55</v>
      </c>
      <c r="D477" s="1" t="s">
        <v>13</v>
      </c>
      <c r="E477" s="1">
        <v>247.0</v>
      </c>
      <c r="F477" s="1">
        <v>2721.16772</v>
      </c>
    </row>
    <row r="478" ht="14.25" customHeight="1">
      <c r="A478" s="1">
        <v>202412.0</v>
      </c>
      <c r="B478" s="1" t="s">
        <v>47</v>
      </c>
      <c r="C478" s="1" t="s">
        <v>55</v>
      </c>
      <c r="D478" s="1" t="s">
        <v>14</v>
      </c>
      <c r="E478" s="1">
        <v>178.0</v>
      </c>
      <c r="F478" s="1">
        <v>2416.77829</v>
      </c>
    </row>
    <row r="479" ht="14.25" customHeight="1">
      <c r="A479" s="1">
        <v>202412.0</v>
      </c>
      <c r="B479" s="1" t="s">
        <v>47</v>
      </c>
      <c r="C479" s="1" t="s">
        <v>55</v>
      </c>
      <c r="D479" s="1" t="s">
        <v>15</v>
      </c>
      <c r="E479" s="1">
        <v>7.0</v>
      </c>
      <c r="F479" s="1">
        <v>524.0368</v>
      </c>
    </row>
    <row r="480" ht="14.25" customHeight="1">
      <c r="A480" s="1">
        <v>202412.0</v>
      </c>
      <c r="B480" s="1" t="s">
        <v>47</v>
      </c>
      <c r="C480" s="1" t="s">
        <v>55</v>
      </c>
      <c r="D480" s="1" t="s">
        <v>16</v>
      </c>
      <c r="E480" s="1">
        <v>5710.0</v>
      </c>
      <c r="F480" s="1">
        <v>13754.24351</v>
      </c>
    </row>
    <row r="481" ht="14.25" customHeight="1">
      <c r="A481" s="1">
        <v>202412.0</v>
      </c>
      <c r="B481" s="1" t="s">
        <v>47</v>
      </c>
      <c r="C481" s="1" t="s">
        <v>55</v>
      </c>
      <c r="D481" s="1" t="s">
        <v>17</v>
      </c>
      <c r="E481" s="1">
        <v>2954.0</v>
      </c>
      <c r="F481" s="1">
        <v>4874.96953</v>
      </c>
    </row>
    <row r="482" ht="14.25" customHeight="1">
      <c r="A482" s="1">
        <v>202412.0</v>
      </c>
      <c r="B482" s="1" t="s">
        <v>47</v>
      </c>
      <c r="C482" s="1" t="s">
        <v>55</v>
      </c>
      <c r="D482" s="1" t="s">
        <v>18</v>
      </c>
      <c r="E482" s="1">
        <v>9904.0</v>
      </c>
      <c r="F482" s="1">
        <v>15441.81956</v>
      </c>
    </row>
    <row r="483" ht="14.25" customHeight="1">
      <c r="A483" s="1">
        <v>202412.0</v>
      </c>
      <c r="B483" s="1" t="s">
        <v>47</v>
      </c>
      <c r="C483" s="1" t="s">
        <v>55</v>
      </c>
      <c r="D483" s="1" t="s">
        <v>19</v>
      </c>
      <c r="E483" s="1">
        <v>43.0</v>
      </c>
      <c r="F483" s="1">
        <v>318.77609</v>
      </c>
    </row>
    <row r="484" ht="14.25" customHeight="1">
      <c r="A484" s="1">
        <v>202412.0</v>
      </c>
      <c r="B484" s="1" t="s">
        <v>47</v>
      </c>
      <c r="C484" s="1" t="s">
        <v>55</v>
      </c>
      <c r="D484" s="1" t="s">
        <v>20</v>
      </c>
      <c r="E484" s="1">
        <v>268.0</v>
      </c>
      <c r="F484" s="1">
        <v>1095.80809</v>
      </c>
    </row>
    <row r="485" ht="14.25" customHeight="1">
      <c r="A485" s="1">
        <v>202412.0</v>
      </c>
      <c r="B485" s="1" t="s">
        <v>47</v>
      </c>
      <c r="C485" s="1" t="s">
        <v>55</v>
      </c>
      <c r="D485" s="1" t="s">
        <v>21</v>
      </c>
      <c r="E485" s="1">
        <v>145.0</v>
      </c>
      <c r="F485" s="1">
        <v>3598.18221</v>
      </c>
    </row>
    <row r="486" ht="14.25" customHeight="1">
      <c r="A486" s="1">
        <v>202412.0</v>
      </c>
      <c r="B486" s="1" t="s">
        <v>47</v>
      </c>
      <c r="C486" s="1" t="s">
        <v>55</v>
      </c>
      <c r="D486" s="1" t="s">
        <v>22</v>
      </c>
      <c r="E486" s="1">
        <v>1.0</v>
      </c>
      <c r="F486" s="1">
        <v>56.1924</v>
      </c>
    </row>
    <row r="487" ht="14.25" customHeight="1">
      <c r="A487" s="1">
        <v>202412.0</v>
      </c>
      <c r="B487" s="1" t="s">
        <v>47</v>
      </c>
      <c r="C487" s="1" t="s">
        <v>55</v>
      </c>
      <c r="D487" s="1" t="s">
        <v>23</v>
      </c>
      <c r="E487" s="1">
        <v>12919.0</v>
      </c>
      <c r="F487" s="1">
        <v>12516.68497</v>
      </c>
    </row>
    <row r="488" ht="14.25" customHeight="1">
      <c r="A488" s="1">
        <v>202412.0</v>
      </c>
      <c r="B488" s="1" t="s">
        <v>47</v>
      </c>
      <c r="C488" s="1" t="s">
        <v>55</v>
      </c>
      <c r="D488" s="1" t="s">
        <v>24</v>
      </c>
      <c r="E488" s="1">
        <v>6.0</v>
      </c>
      <c r="F488" s="1">
        <v>106.62191</v>
      </c>
    </row>
    <row r="489" ht="14.25" customHeight="1">
      <c r="A489" s="1">
        <v>202412.0</v>
      </c>
      <c r="B489" s="1" t="s">
        <v>47</v>
      </c>
      <c r="C489" s="1" t="s">
        <v>55</v>
      </c>
      <c r="D489" s="1" t="s">
        <v>25</v>
      </c>
      <c r="E489" s="1">
        <v>881.0</v>
      </c>
      <c r="F489" s="1">
        <v>2547.31582</v>
      </c>
    </row>
    <row r="490" ht="14.25" customHeight="1">
      <c r="A490" s="1">
        <v>202412.0</v>
      </c>
      <c r="B490" s="1" t="s">
        <v>47</v>
      </c>
      <c r="C490" s="1" t="s">
        <v>55</v>
      </c>
      <c r="D490" s="1" t="s">
        <v>26</v>
      </c>
      <c r="E490" s="1">
        <v>1573.0</v>
      </c>
      <c r="F490" s="1">
        <v>2698.59987</v>
      </c>
    </row>
    <row r="491" ht="14.25" customHeight="1">
      <c r="A491" s="1">
        <v>202412.0</v>
      </c>
      <c r="B491" s="1" t="s">
        <v>47</v>
      </c>
      <c r="C491" s="1" t="s">
        <v>55</v>
      </c>
      <c r="D491" s="1" t="s">
        <v>27</v>
      </c>
      <c r="E491" s="1">
        <v>5.0</v>
      </c>
      <c r="F491" s="1">
        <v>583.2789</v>
      </c>
    </row>
    <row r="492" ht="14.25" customHeight="1">
      <c r="A492" s="1">
        <v>202412.0</v>
      </c>
      <c r="B492" s="1" t="s">
        <v>47</v>
      </c>
      <c r="C492" s="1" t="s">
        <v>55</v>
      </c>
      <c r="D492" s="1" t="s">
        <v>28</v>
      </c>
      <c r="E492" s="1">
        <v>23.0</v>
      </c>
      <c r="F492" s="1">
        <v>341.16209</v>
      </c>
    </row>
    <row r="493" ht="14.25" customHeight="1">
      <c r="A493" s="1">
        <v>202412.0</v>
      </c>
      <c r="B493" s="1" t="s">
        <v>47</v>
      </c>
      <c r="C493" s="1" t="s">
        <v>55</v>
      </c>
      <c r="D493" s="1" t="s">
        <v>29</v>
      </c>
      <c r="E493" s="1">
        <v>32223.0</v>
      </c>
      <c r="F493" s="1">
        <v>51748.07879</v>
      </c>
    </row>
    <row r="494" ht="14.25" customHeight="1">
      <c r="A494" s="1">
        <v>202412.0</v>
      </c>
      <c r="B494" s="1" t="s">
        <v>47</v>
      </c>
      <c r="C494" s="1" t="s">
        <v>55</v>
      </c>
      <c r="D494" s="1" t="s">
        <v>30</v>
      </c>
      <c r="E494" s="1">
        <v>4.0</v>
      </c>
      <c r="F494" s="1">
        <v>2425.4496</v>
      </c>
    </row>
    <row r="495" ht="14.25" customHeight="1">
      <c r="A495" s="1">
        <v>202412.0</v>
      </c>
      <c r="B495" s="1" t="s">
        <v>47</v>
      </c>
      <c r="C495" s="1" t="s">
        <v>55</v>
      </c>
      <c r="D495" s="1" t="s">
        <v>31</v>
      </c>
      <c r="E495" s="1">
        <v>1153.0</v>
      </c>
      <c r="F495" s="1">
        <v>3579.22282</v>
      </c>
    </row>
    <row r="496" ht="14.25" customHeight="1">
      <c r="A496" s="1">
        <v>202412.0</v>
      </c>
      <c r="B496" s="1" t="s">
        <v>47</v>
      </c>
      <c r="C496" s="1" t="s">
        <v>55</v>
      </c>
      <c r="D496" s="1" t="s">
        <v>32</v>
      </c>
      <c r="E496" s="1">
        <v>17.0</v>
      </c>
      <c r="F496" s="1">
        <v>3986.51769</v>
      </c>
    </row>
    <row r="497" ht="14.25" customHeight="1">
      <c r="A497" s="1">
        <v>202412.0</v>
      </c>
      <c r="B497" s="1" t="s">
        <v>47</v>
      </c>
      <c r="C497" s="1" t="s">
        <v>55</v>
      </c>
      <c r="D497" s="1" t="s">
        <v>33</v>
      </c>
      <c r="E497" s="1">
        <v>7943.0</v>
      </c>
      <c r="F497" s="1">
        <v>49782.1892</v>
      </c>
    </row>
    <row r="498" ht="14.25" customHeight="1">
      <c r="A498" s="1">
        <v>202412.0</v>
      </c>
      <c r="B498" s="1" t="s">
        <v>47</v>
      </c>
      <c r="C498" s="1" t="s">
        <v>55</v>
      </c>
      <c r="D498" s="1" t="s">
        <v>34</v>
      </c>
      <c r="E498" s="1">
        <v>797.0</v>
      </c>
      <c r="F498" s="1">
        <v>16329.35249</v>
      </c>
    </row>
    <row r="499" ht="14.25" customHeight="1">
      <c r="A499" s="1">
        <v>202412.0</v>
      </c>
      <c r="B499" s="1" t="s">
        <v>47</v>
      </c>
      <c r="C499" s="1" t="s">
        <v>56</v>
      </c>
      <c r="D499" s="1" t="s">
        <v>9</v>
      </c>
      <c r="E499" s="1">
        <v>59.0</v>
      </c>
      <c r="F499" s="1">
        <v>985.12758</v>
      </c>
    </row>
    <row r="500" ht="14.25" customHeight="1">
      <c r="A500" s="1">
        <v>202412.0</v>
      </c>
      <c r="B500" s="1" t="s">
        <v>47</v>
      </c>
      <c r="C500" s="1" t="s">
        <v>56</v>
      </c>
      <c r="D500" s="1" t="s">
        <v>10</v>
      </c>
      <c r="E500" s="1">
        <v>35869.0</v>
      </c>
      <c r="F500" s="1">
        <v>35836.21081</v>
      </c>
    </row>
    <row r="501" ht="14.25" customHeight="1">
      <c r="A501" s="1">
        <v>202412.0</v>
      </c>
      <c r="B501" s="1" t="s">
        <v>47</v>
      </c>
      <c r="C501" s="1" t="s">
        <v>56</v>
      </c>
      <c r="D501" s="1" t="s">
        <v>11</v>
      </c>
      <c r="E501" s="1">
        <v>25477.0</v>
      </c>
      <c r="F501" s="1">
        <v>17376.90847</v>
      </c>
    </row>
    <row r="502" ht="14.25" customHeight="1">
      <c r="A502" s="1">
        <v>202412.0</v>
      </c>
      <c r="B502" s="1" t="s">
        <v>47</v>
      </c>
      <c r="C502" s="1" t="s">
        <v>56</v>
      </c>
      <c r="D502" s="1" t="s">
        <v>12</v>
      </c>
      <c r="E502" s="1">
        <v>104.0</v>
      </c>
      <c r="F502" s="1">
        <v>1197.14173</v>
      </c>
    </row>
    <row r="503" ht="14.25" customHeight="1">
      <c r="A503" s="1">
        <v>202412.0</v>
      </c>
      <c r="B503" s="1" t="s">
        <v>47</v>
      </c>
      <c r="C503" s="1" t="s">
        <v>56</v>
      </c>
      <c r="D503" s="1" t="s">
        <v>13</v>
      </c>
      <c r="E503" s="1">
        <v>433.0</v>
      </c>
      <c r="F503" s="1">
        <v>6039.79611</v>
      </c>
    </row>
    <row r="504" ht="14.25" customHeight="1">
      <c r="A504" s="1">
        <v>202412.0</v>
      </c>
      <c r="B504" s="1" t="s">
        <v>47</v>
      </c>
      <c r="C504" s="1" t="s">
        <v>56</v>
      </c>
      <c r="D504" s="1" t="s">
        <v>14</v>
      </c>
      <c r="E504" s="1">
        <v>564.0</v>
      </c>
      <c r="F504" s="1">
        <v>6934.67811</v>
      </c>
    </row>
    <row r="505" ht="14.25" customHeight="1">
      <c r="A505" s="1">
        <v>202412.0</v>
      </c>
      <c r="B505" s="1" t="s">
        <v>47</v>
      </c>
      <c r="C505" s="1" t="s">
        <v>56</v>
      </c>
      <c r="D505" s="1" t="s">
        <v>15</v>
      </c>
      <c r="E505" s="1">
        <v>27.0</v>
      </c>
      <c r="F505" s="1">
        <v>3422.04</v>
      </c>
    </row>
    <row r="506" ht="14.25" customHeight="1">
      <c r="A506" s="1">
        <v>202412.0</v>
      </c>
      <c r="B506" s="1" t="s">
        <v>47</v>
      </c>
      <c r="C506" s="1" t="s">
        <v>56</v>
      </c>
      <c r="D506" s="1" t="s">
        <v>16</v>
      </c>
      <c r="E506" s="1">
        <v>9467.0</v>
      </c>
      <c r="F506" s="1">
        <v>27568.83331</v>
      </c>
    </row>
    <row r="507" ht="14.25" customHeight="1">
      <c r="A507" s="1">
        <v>202412.0</v>
      </c>
      <c r="B507" s="1" t="s">
        <v>47</v>
      </c>
      <c r="C507" s="1" t="s">
        <v>56</v>
      </c>
      <c r="D507" s="1" t="s">
        <v>17</v>
      </c>
      <c r="E507" s="1">
        <v>2844.0</v>
      </c>
      <c r="F507" s="1">
        <v>5185.67376</v>
      </c>
    </row>
    <row r="508" ht="14.25" customHeight="1">
      <c r="A508" s="1">
        <v>202412.0</v>
      </c>
      <c r="B508" s="1" t="s">
        <v>47</v>
      </c>
      <c r="C508" s="1" t="s">
        <v>56</v>
      </c>
      <c r="D508" s="1" t="s">
        <v>18</v>
      </c>
      <c r="E508" s="1">
        <v>13375.0</v>
      </c>
      <c r="F508" s="1">
        <v>20488.4106</v>
      </c>
    </row>
    <row r="509" ht="14.25" customHeight="1">
      <c r="A509" s="1">
        <v>202412.0</v>
      </c>
      <c r="B509" s="1" t="s">
        <v>47</v>
      </c>
      <c r="C509" s="1" t="s">
        <v>56</v>
      </c>
      <c r="D509" s="1" t="s">
        <v>19</v>
      </c>
      <c r="E509" s="1">
        <v>26.0</v>
      </c>
      <c r="F509" s="1">
        <v>470.38958</v>
      </c>
    </row>
    <row r="510" ht="14.25" customHeight="1">
      <c r="A510" s="1">
        <v>202412.0</v>
      </c>
      <c r="B510" s="1" t="s">
        <v>47</v>
      </c>
      <c r="C510" s="1" t="s">
        <v>56</v>
      </c>
      <c r="D510" s="1" t="s">
        <v>20</v>
      </c>
      <c r="E510" s="1">
        <v>377.0</v>
      </c>
      <c r="F510" s="1">
        <v>2009.9489</v>
      </c>
    </row>
    <row r="511" ht="14.25" customHeight="1">
      <c r="A511" s="1">
        <v>202412.0</v>
      </c>
      <c r="B511" s="1" t="s">
        <v>47</v>
      </c>
      <c r="C511" s="1" t="s">
        <v>56</v>
      </c>
      <c r="D511" s="1" t="s">
        <v>37</v>
      </c>
      <c r="E511" s="1">
        <v>4.0</v>
      </c>
      <c r="F511" s="1">
        <v>3308.8196</v>
      </c>
    </row>
    <row r="512" ht="14.25" customHeight="1">
      <c r="A512" s="1">
        <v>202412.0</v>
      </c>
      <c r="B512" s="1" t="s">
        <v>47</v>
      </c>
      <c r="C512" s="1" t="s">
        <v>56</v>
      </c>
      <c r="D512" s="1" t="s">
        <v>21</v>
      </c>
      <c r="E512" s="1">
        <v>366.0</v>
      </c>
      <c r="F512" s="1">
        <v>10699.23618</v>
      </c>
    </row>
    <row r="513" ht="14.25" customHeight="1">
      <c r="A513" s="1">
        <v>202412.0</v>
      </c>
      <c r="B513" s="1" t="s">
        <v>47</v>
      </c>
      <c r="C513" s="1" t="s">
        <v>56</v>
      </c>
      <c r="D513" s="1" t="s">
        <v>22</v>
      </c>
      <c r="E513" s="1">
        <v>2.0</v>
      </c>
      <c r="F513" s="1">
        <v>32.91844</v>
      </c>
    </row>
    <row r="514" ht="14.25" customHeight="1">
      <c r="A514" s="1">
        <v>202412.0</v>
      </c>
      <c r="B514" s="1" t="s">
        <v>47</v>
      </c>
      <c r="C514" s="1" t="s">
        <v>56</v>
      </c>
      <c r="D514" s="1" t="s">
        <v>23</v>
      </c>
      <c r="E514" s="1">
        <v>20369.0</v>
      </c>
      <c r="F514" s="1">
        <v>20437.51132</v>
      </c>
    </row>
    <row r="515" ht="14.25" customHeight="1">
      <c r="A515" s="1">
        <v>202412.0</v>
      </c>
      <c r="B515" s="1" t="s">
        <v>47</v>
      </c>
      <c r="C515" s="1" t="s">
        <v>56</v>
      </c>
      <c r="D515" s="1" t="s">
        <v>24</v>
      </c>
      <c r="E515" s="1">
        <v>11.0</v>
      </c>
      <c r="F515" s="1">
        <v>203.09919</v>
      </c>
    </row>
    <row r="516" ht="14.25" customHeight="1">
      <c r="A516" s="1">
        <v>202412.0</v>
      </c>
      <c r="B516" s="1" t="s">
        <v>47</v>
      </c>
      <c r="C516" s="1" t="s">
        <v>56</v>
      </c>
      <c r="D516" s="1" t="s">
        <v>25</v>
      </c>
      <c r="E516" s="1">
        <v>2611.0</v>
      </c>
      <c r="F516" s="1">
        <v>10729.22779</v>
      </c>
    </row>
    <row r="517" ht="14.25" customHeight="1">
      <c r="A517" s="1">
        <v>202412.0</v>
      </c>
      <c r="B517" s="1" t="s">
        <v>47</v>
      </c>
      <c r="C517" s="1" t="s">
        <v>56</v>
      </c>
      <c r="D517" s="1" t="s">
        <v>26</v>
      </c>
      <c r="E517" s="1">
        <v>1470.0</v>
      </c>
      <c r="F517" s="1">
        <v>2996.91407</v>
      </c>
    </row>
    <row r="518" ht="14.25" customHeight="1">
      <c r="A518" s="1">
        <v>202412.0</v>
      </c>
      <c r="B518" s="1" t="s">
        <v>47</v>
      </c>
      <c r="C518" s="1" t="s">
        <v>56</v>
      </c>
      <c r="D518" s="1" t="s">
        <v>27</v>
      </c>
      <c r="E518" s="1">
        <v>12.0</v>
      </c>
      <c r="F518" s="1">
        <v>1431.6488</v>
      </c>
    </row>
    <row r="519" ht="14.25" customHeight="1">
      <c r="A519" s="1">
        <v>202412.0</v>
      </c>
      <c r="B519" s="1" t="s">
        <v>47</v>
      </c>
      <c r="C519" s="1" t="s">
        <v>56</v>
      </c>
      <c r="D519" s="1" t="s">
        <v>28</v>
      </c>
      <c r="E519" s="1">
        <v>28.0</v>
      </c>
      <c r="F519" s="1">
        <v>416.82988</v>
      </c>
    </row>
    <row r="520" ht="14.25" customHeight="1">
      <c r="A520" s="1">
        <v>202412.0</v>
      </c>
      <c r="B520" s="1" t="s">
        <v>47</v>
      </c>
      <c r="C520" s="1" t="s">
        <v>56</v>
      </c>
      <c r="D520" s="1" t="s">
        <v>29</v>
      </c>
      <c r="E520" s="1">
        <v>47439.0</v>
      </c>
      <c r="F520" s="1">
        <v>66339.28077</v>
      </c>
    </row>
    <row r="521" ht="14.25" customHeight="1">
      <c r="A521" s="1">
        <v>202412.0</v>
      </c>
      <c r="B521" s="1" t="s">
        <v>47</v>
      </c>
      <c r="C521" s="1" t="s">
        <v>56</v>
      </c>
      <c r="D521" s="1" t="s">
        <v>30</v>
      </c>
      <c r="E521" s="1">
        <v>3.0</v>
      </c>
      <c r="F521" s="1">
        <v>7760.0372</v>
      </c>
    </row>
    <row r="522" ht="14.25" customHeight="1">
      <c r="A522" s="1">
        <v>202412.0</v>
      </c>
      <c r="B522" s="1" t="s">
        <v>47</v>
      </c>
      <c r="C522" s="1" t="s">
        <v>56</v>
      </c>
      <c r="D522" s="1" t="s">
        <v>31</v>
      </c>
      <c r="E522" s="1">
        <v>2922.0</v>
      </c>
      <c r="F522" s="1">
        <v>8056.47747</v>
      </c>
    </row>
    <row r="523" ht="14.25" customHeight="1">
      <c r="A523" s="1">
        <v>202412.0</v>
      </c>
      <c r="B523" s="1" t="s">
        <v>47</v>
      </c>
      <c r="C523" s="1" t="s">
        <v>56</v>
      </c>
      <c r="D523" s="1" t="s">
        <v>32</v>
      </c>
      <c r="E523" s="1">
        <v>13.0</v>
      </c>
      <c r="F523" s="1">
        <v>3005.9812</v>
      </c>
    </row>
    <row r="524" ht="14.25" customHeight="1">
      <c r="A524" s="1">
        <v>202412.0</v>
      </c>
      <c r="B524" s="1" t="s">
        <v>47</v>
      </c>
      <c r="C524" s="1" t="s">
        <v>56</v>
      </c>
      <c r="D524" s="1" t="s">
        <v>33</v>
      </c>
      <c r="E524" s="1">
        <v>10146.0</v>
      </c>
      <c r="F524" s="1">
        <v>74216.74946</v>
      </c>
    </row>
    <row r="525" ht="14.25" customHeight="1">
      <c r="A525" s="1">
        <v>202412.0</v>
      </c>
      <c r="B525" s="1" t="s">
        <v>47</v>
      </c>
      <c r="C525" s="1" t="s">
        <v>56</v>
      </c>
      <c r="D525" s="1" t="s">
        <v>34</v>
      </c>
      <c r="E525" s="1">
        <v>363.0</v>
      </c>
      <c r="F525" s="1">
        <v>8528.84501</v>
      </c>
    </row>
    <row r="526" ht="14.25" customHeight="1">
      <c r="A526" s="1">
        <v>202412.0</v>
      </c>
      <c r="B526" s="1" t="s">
        <v>47</v>
      </c>
      <c r="C526" s="1" t="s">
        <v>57</v>
      </c>
      <c r="D526" s="1" t="s">
        <v>9</v>
      </c>
      <c r="E526" s="1">
        <v>4.0</v>
      </c>
      <c r="F526" s="1">
        <v>81.45627</v>
      </c>
    </row>
    <row r="527" ht="14.25" customHeight="1">
      <c r="A527" s="1">
        <v>202412.0</v>
      </c>
      <c r="B527" s="1" t="s">
        <v>47</v>
      </c>
      <c r="C527" s="1" t="s">
        <v>57</v>
      </c>
      <c r="D527" s="1" t="s">
        <v>10</v>
      </c>
      <c r="E527" s="1">
        <v>12584.0</v>
      </c>
      <c r="F527" s="1">
        <v>14375.31565</v>
      </c>
    </row>
    <row r="528" ht="14.25" customHeight="1">
      <c r="A528" s="1">
        <v>202412.0</v>
      </c>
      <c r="B528" s="1" t="s">
        <v>47</v>
      </c>
      <c r="C528" s="1" t="s">
        <v>57</v>
      </c>
      <c r="D528" s="1" t="s">
        <v>11</v>
      </c>
      <c r="E528" s="1">
        <v>9681.0</v>
      </c>
      <c r="F528" s="1">
        <v>7734.57985</v>
      </c>
    </row>
    <row r="529" ht="14.25" customHeight="1">
      <c r="A529" s="1">
        <v>202412.0</v>
      </c>
      <c r="B529" s="1" t="s">
        <v>47</v>
      </c>
      <c r="C529" s="1" t="s">
        <v>57</v>
      </c>
      <c r="D529" s="1" t="s">
        <v>12</v>
      </c>
      <c r="E529" s="1">
        <v>59.0</v>
      </c>
      <c r="F529" s="1">
        <v>879.48176</v>
      </c>
    </row>
    <row r="530" ht="14.25" customHeight="1">
      <c r="A530" s="1">
        <v>202412.0</v>
      </c>
      <c r="B530" s="1" t="s">
        <v>47</v>
      </c>
      <c r="C530" s="1" t="s">
        <v>57</v>
      </c>
      <c r="D530" s="1" t="s">
        <v>13</v>
      </c>
      <c r="E530" s="1">
        <v>178.0</v>
      </c>
      <c r="F530" s="1">
        <v>2722.80514</v>
      </c>
    </row>
    <row r="531" ht="14.25" customHeight="1">
      <c r="A531" s="1">
        <v>202412.0</v>
      </c>
      <c r="B531" s="1" t="s">
        <v>47</v>
      </c>
      <c r="C531" s="1" t="s">
        <v>57</v>
      </c>
      <c r="D531" s="1" t="s">
        <v>14</v>
      </c>
      <c r="E531" s="1">
        <v>133.0</v>
      </c>
      <c r="F531" s="1">
        <v>1929.71172</v>
      </c>
    </row>
    <row r="532" ht="14.25" customHeight="1">
      <c r="A532" s="1">
        <v>202412.0</v>
      </c>
      <c r="B532" s="1" t="s">
        <v>47</v>
      </c>
      <c r="C532" s="1" t="s">
        <v>57</v>
      </c>
      <c r="D532" s="1" t="s">
        <v>15</v>
      </c>
      <c r="E532" s="1">
        <v>10.0</v>
      </c>
      <c r="F532" s="1">
        <v>2607.614</v>
      </c>
    </row>
    <row r="533" ht="14.25" customHeight="1">
      <c r="A533" s="1">
        <v>202412.0</v>
      </c>
      <c r="B533" s="1" t="s">
        <v>47</v>
      </c>
      <c r="C533" s="1" t="s">
        <v>57</v>
      </c>
      <c r="D533" s="1" t="s">
        <v>16</v>
      </c>
      <c r="E533" s="1">
        <v>2697.0</v>
      </c>
      <c r="F533" s="1">
        <v>9707.27821</v>
      </c>
    </row>
    <row r="534" ht="14.25" customHeight="1">
      <c r="A534" s="1">
        <v>202412.0</v>
      </c>
      <c r="B534" s="1" t="s">
        <v>47</v>
      </c>
      <c r="C534" s="1" t="s">
        <v>57</v>
      </c>
      <c r="D534" s="1" t="s">
        <v>17</v>
      </c>
      <c r="E534" s="1">
        <v>1341.0</v>
      </c>
      <c r="F534" s="1">
        <v>2971.83445</v>
      </c>
    </row>
    <row r="535" ht="14.25" customHeight="1">
      <c r="A535" s="1">
        <v>202412.0</v>
      </c>
      <c r="B535" s="1" t="s">
        <v>47</v>
      </c>
      <c r="C535" s="1" t="s">
        <v>57</v>
      </c>
      <c r="D535" s="1" t="s">
        <v>18</v>
      </c>
      <c r="E535" s="1">
        <v>5540.0</v>
      </c>
      <c r="F535" s="1">
        <v>11737.57764</v>
      </c>
    </row>
    <row r="536" ht="14.25" customHeight="1">
      <c r="A536" s="1">
        <v>202412.0</v>
      </c>
      <c r="B536" s="1" t="s">
        <v>47</v>
      </c>
      <c r="C536" s="1" t="s">
        <v>57</v>
      </c>
      <c r="D536" s="1" t="s">
        <v>19</v>
      </c>
      <c r="E536" s="1">
        <v>12.0</v>
      </c>
      <c r="F536" s="1">
        <v>316.34623</v>
      </c>
    </row>
    <row r="537" ht="14.25" customHeight="1">
      <c r="A537" s="1">
        <v>202412.0</v>
      </c>
      <c r="B537" s="1" t="s">
        <v>47</v>
      </c>
      <c r="C537" s="1" t="s">
        <v>57</v>
      </c>
      <c r="D537" s="1" t="s">
        <v>20</v>
      </c>
      <c r="E537" s="1">
        <v>89.0</v>
      </c>
      <c r="F537" s="1">
        <v>231.36339</v>
      </c>
    </row>
    <row r="538" ht="14.25" customHeight="1">
      <c r="A538" s="1">
        <v>202412.0</v>
      </c>
      <c r="B538" s="1" t="s">
        <v>47</v>
      </c>
      <c r="C538" s="1" t="s">
        <v>57</v>
      </c>
      <c r="D538" s="1" t="s">
        <v>21</v>
      </c>
      <c r="E538" s="1">
        <v>113.0</v>
      </c>
      <c r="F538" s="1">
        <v>3875.75223</v>
      </c>
    </row>
    <row r="539" ht="14.25" customHeight="1">
      <c r="A539" s="1">
        <v>202412.0</v>
      </c>
      <c r="B539" s="1" t="s">
        <v>47</v>
      </c>
      <c r="C539" s="1" t="s">
        <v>57</v>
      </c>
      <c r="D539" s="1" t="s">
        <v>23</v>
      </c>
      <c r="E539" s="1">
        <v>8571.0</v>
      </c>
      <c r="F539" s="1">
        <v>10590.93856</v>
      </c>
    </row>
    <row r="540" ht="14.25" customHeight="1">
      <c r="A540" s="1">
        <v>202412.0</v>
      </c>
      <c r="B540" s="1" t="s">
        <v>47</v>
      </c>
      <c r="C540" s="1" t="s">
        <v>57</v>
      </c>
      <c r="D540" s="1" t="s">
        <v>24</v>
      </c>
      <c r="E540" s="1">
        <v>10.0</v>
      </c>
      <c r="F540" s="1">
        <v>26.96372</v>
      </c>
    </row>
    <row r="541" ht="14.25" customHeight="1">
      <c r="A541" s="1">
        <v>202412.0</v>
      </c>
      <c r="B541" s="1" t="s">
        <v>47</v>
      </c>
      <c r="C541" s="1" t="s">
        <v>57</v>
      </c>
      <c r="D541" s="1" t="s">
        <v>25</v>
      </c>
      <c r="E541" s="1">
        <v>403.0</v>
      </c>
      <c r="F541" s="1">
        <v>2035.02914</v>
      </c>
    </row>
    <row r="542" ht="14.25" customHeight="1">
      <c r="A542" s="1">
        <v>202412.0</v>
      </c>
      <c r="B542" s="1" t="s">
        <v>47</v>
      </c>
      <c r="C542" s="1" t="s">
        <v>57</v>
      </c>
      <c r="D542" s="1" t="s">
        <v>26</v>
      </c>
      <c r="E542" s="1">
        <v>760.0</v>
      </c>
      <c r="F542" s="1">
        <v>2086.8263</v>
      </c>
    </row>
    <row r="543" ht="14.25" customHeight="1">
      <c r="A543" s="1">
        <v>202412.0</v>
      </c>
      <c r="B543" s="1" t="s">
        <v>47</v>
      </c>
      <c r="C543" s="1" t="s">
        <v>57</v>
      </c>
      <c r="D543" s="1" t="s">
        <v>27</v>
      </c>
      <c r="E543" s="1">
        <v>1.0</v>
      </c>
      <c r="F543" s="1">
        <v>72.1124</v>
      </c>
    </row>
    <row r="544" ht="14.25" customHeight="1">
      <c r="A544" s="1">
        <v>202412.0</v>
      </c>
      <c r="B544" s="1" t="s">
        <v>47</v>
      </c>
      <c r="C544" s="1" t="s">
        <v>57</v>
      </c>
      <c r="D544" s="1" t="s">
        <v>28</v>
      </c>
      <c r="E544" s="1">
        <v>10.0</v>
      </c>
      <c r="F544" s="1">
        <v>199.26295</v>
      </c>
    </row>
    <row r="545" ht="14.25" customHeight="1">
      <c r="A545" s="1">
        <v>202412.0</v>
      </c>
      <c r="B545" s="1" t="s">
        <v>47</v>
      </c>
      <c r="C545" s="1" t="s">
        <v>57</v>
      </c>
      <c r="D545" s="1" t="s">
        <v>29</v>
      </c>
      <c r="E545" s="1">
        <v>17554.0</v>
      </c>
      <c r="F545" s="1">
        <v>30739.40608</v>
      </c>
    </row>
    <row r="546" ht="14.25" customHeight="1">
      <c r="A546" s="1">
        <v>202412.0</v>
      </c>
      <c r="B546" s="1" t="s">
        <v>47</v>
      </c>
      <c r="C546" s="1" t="s">
        <v>57</v>
      </c>
      <c r="D546" s="1" t="s">
        <v>30</v>
      </c>
      <c r="E546" s="1">
        <v>1.0</v>
      </c>
      <c r="F546" s="1">
        <v>970.0124</v>
      </c>
    </row>
    <row r="547" ht="14.25" customHeight="1">
      <c r="A547" s="1">
        <v>202412.0</v>
      </c>
      <c r="B547" s="1" t="s">
        <v>47</v>
      </c>
      <c r="C547" s="1" t="s">
        <v>57</v>
      </c>
      <c r="D547" s="1" t="s">
        <v>31</v>
      </c>
      <c r="E547" s="1">
        <v>535.0</v>
      </c>
      <c r="F547" s="1">
        <v>1132.2762</v>
      </c>
    </row>
    <row r="548" ht="14.25" customHeight="1">
      <c r="A548" s="1">
        <v>202412.0</v>
      </c>
      <c r="B548" s="1" t="s">
        <v>47</v>
      </c>
      <c r="C548" s="1" t="s">
        <v>57</v>
      </c>
      <c r="D548" s="1" t="s">
        <v>32</v>
      </c>
      <c r="E548" s="1">
        <v>12.0</v>
      </c>
      <c r="F548" s="1">
        <v>3265.62584</v>
      </c>
    </row>
    <row r="549" ht="14.25" customHeight="1">
      <c r="A549" s="1">
        <v>202412.0</v>
      </c>
      <c r="B549" s="1" t="s">
        <v>47</v>
      </c>
      <c r="C549" s="1" t="s">
        <v>57</v>
      </c>
      <c r="D549" s="1" t="s">
        <v>33</v>
      </c>
      <c r="E549" s="1">
        <v>4220.0</v>
      </c>
      <c r="F549" s="1">
        <v>38027.9991</v>
      </c>
    </row>
    <row r="550" ht="14.25" customHeight="1">
      <c r="A550" s="1">
        <v>202412.0</v>
      </c>
      <c r="B550" s="1" t="s">
        <v>47</v>
      </c>
      <c r="C550" s="1" t="s">
        <v>57</v>
      </c>
      <c r="D550" s="1" t="s">
        <v>34</v>
      </c>
      <c r="E550" s="1">
        <v>308.0</v>
      </c>
      <c r="F550" s="1">
        <v>9286.87475</v>
      </c>
    </row>
    <row r="551" ht="14.25" customHeight="1">
      <c r="A551" s="1">
        <v>202412.0</v>
      </c>
      <c r="B551" s="1" t="s">
        <v>47</v>
      </c>
      <c r="C551" s="1" t="s">
        <v>58</v>
      </c>
      <c r="D551" s="1" t="s">
        <v>9</v>
      </c>
      <c r="E551" s="1">
        <v>24.0</v>
      </c>
      <c r="F551" s="1">
        <v>498.85465</v>
      </c>
    </row>
    <row r="552" ht="14.25" customHeight="1">
      <c r="A552" s="1">
        <v>202412.0</v>
      </c>
      <c r="B552" s="1" t="s">
        <v>47</v>
      </c>
      <c r="C552" s="1" t="s">
        <v>58</v>
      </c>
      <c r="D552" s="1" t="s">
        <v>10</v>
      </c>
      <c r="E552" s="1">
        <v>29297.0</v>
      </c>
      <c r="F552" s="1">
        <v>29438.37783</v>
      </c>
    </row>
    <row r="553" ht="14.25" customHeight="1">
      <c r="A553" s="1">
        <v>202412.0</v>
      </c>
      <c r="B553" s="1" t="s">
        <v>47</v>
      </c>
      <c r="C553" s="1" t="s">
        <v>58</v>
      </c>
      <c r="D553" s="1" t="s">
        <v>11</v>
      </c>
      <c r="E553" s="1">
        <v>26329.0</v>
      </c>
      <c r="F553" s="1">
        <v>18319.0586</v>
      </c>
    </row>
    <row r="554" ht="14.25" customHeight="1">
      <c r="A554" s="1">
        <v>202412.0</v>
      </c>
      <c r="B554" s="1" t="s">
        <v>47</v>
      </c>
      <c r="C554" s="1" t="s">
        <v>58</v>
      </c>
      <c r="D554" s="1" t="s">
        <v>12</v>
      </c>
      <c r="E554" s="1">
        <v>165.0</v>
      </c>
      <c r="F554" s="1">
        <v>1995.93136</v>
      </c>
    </row>
    <row r="555" ht="14.25" customHeight="1">
      <c r="A555" s="1">
        <v>202412.0</v>
      </c>
      <c r="B555" s="1" t="s">
        <v>47</v>
      </c>
      <c r="C555" s="1" t="s">
        <v>58</v>
      </c>
      <c r="D555" s="1" t="s">
        <v>13</v>
      </c>
      <c r="E555" s="1">
        <v>234.0</v>
      </c>
      <c r="F555" s="1">
        <v>3429.28086</v>
      </c>
    </row>
    <row r="556" ht="14.25" customHeight="1">
      <c r="A556" s="1">
        <v>202412.0</v>
      </c>
      <c r="B556" s="1" t="s">
        <v>47</v>
      </c>
      <c r="C556" s="1" t="s">
        <v>58</v>
      </c>
      <c r="D556" s="1" t="s">
        <v>14</v>
      </c>
      <c r="E556" s="1">
        <v>552.0</v>
      </c>
      <c r="F556" s="1">
        <v>6550.96223</v>
      </c>
    </row>
    <row r="557" ht="14.25" customHeight="1">
      <c r="A557" s="1">
        <v>202412.0</v>
      </c>
      <c r="B557" s="1" t="s">
        <v>47</v>
      </c>
      <c r="C557" s="1" t="s">
        <v>58</v>
      </c>
      <c r="D557" s="1" t="s">
        <v>15</v>
      </c>
      <c r="E557" s="1">
        <v>30.0</v>
      </c>
      <c r="F557" s="1">
        <v>3738.73404</v>
      </c>
    </row>
    <row r="558" ht="14.25" customHeight="1">
      <c r="A558" s="1">
        <v>202412.0</v>
      </c>
      <c r="B558" s="1" t="s">
        <v>47</v>
      </c>
      <c r="C558" s="1" t="s">
        <v>58</v>
      </c>
      <c r="D558" s="1" t="s">
        <v>16</v>
      </c>
      <c r="E558" s="1">
        <v>7971.0</v>
      </c>
      <c r="F558" s="1">
        <v>23105.54014</v>
      </c>
    </row>
    <row r="559" ht="14.25" customHeight="1">
      <c r="A559" s="1">
        <v>202412.0</v>
      </c>
      <c r="B559" s="1" t="s">
        <v>47</v>
      </c>
      <c r="C559" s="1" t="s">
        <v>58</v>
      </c>
      <c r="D559" s="1" t="s">
        <v>17</v>
      </c>
      <c r="E559" s="1">
        <v>3718.0</v>
      </c>
      <c r="F559" s="1">
        <v>8376.43835</v>
      </c>
    </row>
    <row r="560" ht="14.25" customHeight="1">
      <c r="A560" s="1">
        <v>202412.0</v>
      </c>
      <c r="B560" s="1" t="s">
        <v>47</v>
      </c>
      <c r="C560" s="1" t="s">
        <v>58</v>
      </c>
      <c r="D560" s="1" t="s">
        <v>18</v>
      </c>
      <c r="E560" s="1">
        <v>13297.0</v>
      </c>
      <c r="F560" s="1">
        <v>23848.85252</v>
      </c>
    </row>
    <row r="561" ht="14.25" customHeight="1">
      <c r="A561" s="1">
        <v>202412.0</v>
      </c>
      <c r="B561" s="1" t="s">
        <v>47</v>
      </c>
      <c r="C561" s="1" t="s">
        <v>58</v>
      </c>
      <c r="D561" s="1" t="s">
        <v>19</v>
      </c>
      <c r="E561" s="1">
        <v>19.0</v>
      </c>
      <c r="F561" s="1">
        <v>342.87686</v>
      </c>
    </row>
    <row r="562" ht="14.25" customHeight="1">
      <c r="A562" s="1">
        <v>202412.0</v>
      </c>
      <c r="B562" s="1" t="s">
        <v>47</v>
      </c>
      <c r="C562" s="1" t="s">
        <v>58</v>
      </c>
      <c r="D562" s="1" t="s">
        <v>20</v>
      </c>
      <c r="E562" s="1">
        <v>112.0</v>
      </c>
      <c r="F562" s="1">
        <v>296.10663</v>
      </c>
    </row>
    <row r="563" ht="14.25" customHeight="1">
      <c r="A563" s="1">
        <v>202412.0</v>
      </c>
      <c r="B563" s="1" t="s">
        <v>47</v>
      </c>
      <c r="C563" s="1" t="s">
        <v>58</v>
      </c>
      <c r="D563" s="1" t="s">
        <v>37</v>
      </c>
      <c r="E563" s="1">
        <v>2.0</v>
      </c>
      <c r="F563" s="1">
        <v>1150.8648</v>
      </c>
    </row>
    <row r="564" ht="14.25" customHeight="1">
      <c r="A564" s="1">
        <v>202412.0</v>
      </c>
      <c r="B564" s="1" t="s">
        <v>47</v>
      </c>
      <c r="C564" s="1" t="s">
        <v>58</v>
      </c>
      <c r="D564" s="1" t="s">
        <v>21</v>
      </c>
      <c r="E564" s="1">
        <v>148.0</v>
      </c>
      <c r="F564" s="1">
        <v>4341.52752</v>
      </c>
    </row>
    <row r="565" ht="14.25" customHeight="1">
      <c r="A565" s="1">
        <v>202412.0</v>
      </c>
      <c r="B565" s="1" t="s">
        <v>47</v>
      </c>
      <c r="C565" s="1" t="s">
        <v>58</v>
      </c>
      <c r="D565" s="1" t="s">
        <v>22</v>
      </c>
      <c r="E565" s="1">
        <v>3.0</v>
      </c>
      <c r="F565" s="1">
        <v>134.25646</v>
      </c>
    </row>
    <row r="566" ht="14.25" customHeight="1">
      <c r="A566" s="1">
        <v>202412.0</v>
      </c>
      <c r="B566" s="1" t="s">
        <v>47</v>
      </c>
      <c r="C566" s="1" t="s">
        <v>58</v>
      </c>
      <c r="D566" s="1" t="s">
        <v>23</v>
      </c>
      <c r="E566" s="1">
        <v>23201.0</v>
      </c>
      <c r="F566" s="1">
        <v>24649.00832</v>
      </c>
    </row>
    <row r="567" ht="14.25" customHeight="1">
      <c r="A567" s="1">
        <v>202412.0</v>
      </c>
      <c r="B567" s="1" t="s">
        <v>47</v>
      </c>
      <c r="C567" s="1" t="s">
        <v>58</v>
      </c>
      <c r="D567" s="1" t="s">
        <v>24</v>
      </c>
      <c r="E567" s="1">
        <v>4.0</v>
      </c>
      <c r="F567" s="1">
        <v>105.23777</v>
      </c>
    </row>
    <row r="568" ht="14.25" customHeight="1">
      <c r="A568" s="1">
        <v>202412.0</v>
      </c>
      <c r="B568" s="1" t="s">
        <v>47</v>
      </c>
      <c r="C568" s="1" t="s">
        <v>58</v>
      </c>
      <c r="D568" s="1" t="s">
        <v>25</v>
      </c>
      <c r="E568" s="1">
        <v>1962.0</v>
      </c>
      <c r="F568" s="1">
        <v>6013.12553</v>
      </c>
    </row>
    <row r="569" ht="14.25" customHeight="1">
      <c r="A569" s="1">
        <v>202412.0</v>
      </c>
      <c r="B569" s="1" t="s">
        <v>47</v>
      </c>
      <c r="C569" s="1" t="s">
        <v>58</v>
      </c>
      <c r="D569" s="1" t="s">
        <v>26</v>
      </c>
      <c r="E569" s="1">
        <v>3105.0</v>
      </c>
      <c r="F569" s="1">
        <v>6156.1402</v>
      </c>
    </row>
    <row r="570" ht="14.25" customHeight="1">
      <c r="A570" s="1">
        <v>202412.0</v>
      </c>
      <c r="B570" s="1" t="s">
        <v>47</v>
      </c>
      <c r="C570" s="1" t="s">
        <v>58</v>
      </c>
      <c r="D570" s="1" t="s">
        <v>27</v>
      </c>
      <c r="E570" s="1">
        <v>1.0</v>
      </c>
      <c r="F570" s="1">
        <v>134.5124</v>
      </c>
    </row>
    <row r="571" ht="14.25" customHeight="1">
      <c r="A571" s="1">
        <v>202412.0</v>
      </c>
      <c r="B571" s="1" t="s">
        <v>47</v>
      </c>
      <c r="C571" s="1" t="s">
        <v>58</v>
      </c>
      <c r="D571" s="1" t="s">
        <v>28</v>
      </c>
      <c r="E571" s="1">
        <v>20.0</v>
      </c>
      <c r="F571" s="1">
        <v>473.30777</v>
      </c>
    </row>
    <row r="572" ht="14.25" customHeight="1">
      <c r="A572" s="1">
        <v>202412.0</v>
      </c>
      <c r="B572" s="1" t="s">
        <v>47</v>
      </c>
      <c r="C572" s="1" t="s">
        <v>58</v>
      </c>
      <c r="D572" s="1" t="s">
        <v>29</v>
      </c>
      <c r="E572" s="1">
        <v>45737.0</v>
      </c>
      <c r="F572" s="1">
        <v>77720.56718</v>
      </c>
    </row>
    <row r="573" ht="14.25" customHeight="1">
      <c r="A573" s="1">
        <v>202412.0</v>
      </c>
      <c r="B573" s="1" t="s">
        <v>47</v>
      </c>
      <c r="C573" s="1" t="s">
        <v>58</v>
      </c>
      <c r="D573" s="1" t="s">
        <v>30</v>
      </c>
      <c r="E573" s="1">
        <v>6.0</v>
      </c>
      <c r="F573" s="1">
        <v>6790.2744</v>
      </c>
    </row>
    <row r="574" ht="14.25" customHeight="1">
      <c r="A574" s="1">
        <v>202412.0</v>
      </c>
      <c r="B574" s="1" t="s">
        <v>47</v>
      </c>
      <c r="C574" s="1" t="s">
        <v>58</v>
      </c>
      <c r="D574" s="1" t="s">
        <v>31</v>
      </c>
      <c r="E574" s="1">
        <v>831.0</v>
      </c>
      <c r="F574" s="1">
        <v>2821.61411</v>
      </c>
    </row>
    <row r="575" ht="14.25" customHeight="1">
      <c r="A575" s="1">
        <v>202412.0</v>
      </c>
      <c r="B575" s="1" t="s">
        <v>47</v>
      </c>
      <c r="C575" s="1" t="s">
        <v>58</v>
      </c>
      <c r="D575" s="1" t="s">
        <v>32</v>
      </c>
      <c r="E575" s="1">
        <v>7.0</v>
      </c>
      <c r="F575" s="1">
        <v>1604.39078</v>
      </c>
    </row>
    <row r="576" ht="14.25" customHeight="1">
      <c r="A576" s="1">
        <v>202412.0</v>
      </c>
      <c r="B576" s="1" t="s">
        <v>47</v>
      </c>
      <c r="C576" s="1" t="s">
        <v>58</v>
      </c>
      <c r="D576" s="1" t="s">
        <v>33</v>
      </c>
      <c r="E576" s="1">
        <v>11180.0</v>
      </c>
      <c r="F576" s="1">
        <v>103018.9273</v>
      </c>
    </row>
    <row r="577" ht="14.25" customHeight="1">
      <c r="A577" s="1">
        <v>202412.0</v>
      </c>
      <c r="B577" s="1" t="s">
        <v>47</v>
      </c>
      <c r="C577" s="1" t="s">
        <v>58</v>
      </c>
      <c r="D577" s="1" t="s">
        <v>34</v>
      </c>
      <c r="E577" s="1">
        <v>329.0</v>
      </c>
      <c r="F577" s="1">
        <v>8574.97952</v>
      </c>
    </row>
    <row r="578" ht="14.25" customHeight="1">
      <c r="A578" s="1">
        <v>202412.0</v>
      </c>
      <c r="B578" s="1" t="s">
        <v>59</v>
      </c>
      <c r="C578" s="1" t="s">
        <v>60</v>
      </c>
      <c r="D578" s="1" t="s">
        <v>9</v>
      </c>
      <c r="E578" s="1">
        <v>22.0</v>
      </c>
      <c r="F578" s="1">
        <v>245.593</v>
      </c>
    </row>
    <row r="579" ht="14.25" customHeight="1">
      <c r="A579" s="1">
        <v>202412.0</v>
      </c>
      <c r="B579" s="1" t="s">
        <v>59</v>
      </c>
      <c r="C579" s="1" t="s">
        <v>60</v>
      </c>
      <c r="D579" s="1" t="s">
        <v>10</v>
      </c>
      <c r="E579" s="1">
        <v>55458.0</v>
      </c>
      <c r="F579" s="1">
        <v>53049.78626</v>
      </c>
    </row>
    <row r="580" ht="14.25" customHeight="1">
      <c r="A580" s="1">
        <v>202412.0</v>
      </c>
      <c r="B580" s="1" t="s">
        <v>59</v>
      </c>
      <c r="C580" s="1" t="s">
        <v>60</v>
      </c>
      <c r="D580" s="1" t="s">
        <v>11</v>
      </c>
      <c r="E580" s="1">
        <v>40415.0</v>
      </c>
      <c r="F580" s="1">
        <v>25555.70462</v>
      </c>
    </row>
    <row r="581" ht="14.25" customHeight="1">
      <c r="A581" s="1">
        <v>202412.0</v>
      </c>
      <c r="B581" s="1" t="s">
        <v>59</v>
      </c>
      <c r="C581" s="1" t="s">
        <v>60</v>
      </c>
      <c r="D581" s="1" t="s">
        <v>12</v>
      </c>
      <c r="E581" s="1">
        <v>224.0</v>
      </c>
      <c r="F581" s="1">
        <v>2691.79103</v>
      </c>
    </row>
    <row r="582" ht="14.25" customHeight="1">
      <c r="A582" s="1">
        <v>202412.0</v>
      </c>
      <c r="B582" s="1" t="s">
        <v>59</v>
      </c>
      <c r="C582" s="1" t="s">
        <v>60</v>
      </c>
      <c r="D582" s="1" t="s">
        <v>13</v>
      </c>
      <c r="E582" s="1">
        <v>453.0</v>
      </c>
      <c r="F582" s="1">
        <v>5538.02437</v>
      </c>
    </row>
    <row r="583" ht="14.25" customHeight="1">
      <c r="A583" s="1">
        <v>202412.0</v>
      </c>
      <c r="B583" s="1" t="s">
        <v>59</v>
      </c>
      <c r="C583" s="1" t="s">
        <v>60</v>
      </c>
      <c r="D583" s="1" t="s">
        <v>14</v>
      </c>
      <c r="E583" s="1">
        <v>865.0</v>
      </c>
      <c r="F583" s="1">
        <v>8204.47126</v>
      </c>
    </row>
    <row r="584" ht="14.25" customHeight="1">
      <c r="A584" s="1">
        <v>202412.0</v>
      </c>
      <c r="B584" s="1" t="s">
        <v>59</v>
      </c>
      <c r="C584" s="1" t="s">
        <v>60</v>
      </c>
      <c r="D584" s="1" t="s">
        <v>15</v>
      </c>
      <c r="E584" s="1">
        <v>52.0</v>
      </c>
      <c r="F584" s="1">
        <v>5304.69031</v>
      </c>
    </row>
    <row r="585" ht="14.25" customHeight="1">
      <c r="A585" s="1">
        <v>202412.0</v>
      </c>
      <c r="B585" s="1" t="s">
        <v>59</v>
      </c>
      <c r="C585" s="1" t="s">
        <v>60</v>
      </c>
      <c r="D585" s="1" t="s">
        <v>16</v>
      </c>
      <c r="E585" s="1">
        <v>12734.0</v>
      </c>
      <c r="F585" s="1">
        <v>34618.32432</v>
      </c>
    </row>
    <row r="586" ht="14.25" customHeight="1">
      <c r="A586" s="1">
        <v>202412.0</v>
      </c>
      <c r="B586" s="1" t="s">
        <v>59</v>
      </c>
      <c r="C586" s="1" t="s">
        <v>60</v>
      </c>
      <c r="D586" s="1" t="s">
        <v>17</v>
      </c>
      <c r="E586" s="1">
        <v>4506.0</v>
      </c>
      <c r="F586" s="1">
        <v>8387.26573</v>
      </c>
    </row>
    <row r="587" ht="14.25" customHeight="1">
      <c r="A587" s="1">
        <v>202412.0</v>
      </c>
      <c r="B587" s="1" t="s">
        <v>59</v>
      </c>
      <c r="C587" s="1" t="s">
        <v>60</v>
      </c>
      <c r="D587" s="1" t="s">
        <v>18</v>
      </c>
      <c r="E587" s="1">
        <v>24043.0</v>
      </c>
      <c r="F587" s="1">
        <v>34101.18901</v>
      </c>
    </row>
    <row r="588" ht="14.25" customHeight="1">
      <c r="A588" s="1">
        <v>202412.0</v>
      </c>
      <c r="B588" s="1" t="s">
        <v>59</v>
      </c>
      <c r="C588" s="1" t="s">
        <v>60</v>
      </c>
      <c r="D588" s="1" t="s">
        <v>19</v>
      </c>
      <c r="E588" s="1">
        <v>22.0</v>
      </c>
      <c r="F588" s="1">
        <v>431.96672</v>
      </c>
    </row>
    <row r="589" ht="14.25" customHeight="1">
      <c r="A589" s="1">
        <v>202412.0</v>
      </c>
      <c r="B589" s="1" t="s">
        <v>59</v>
      </c>
      <c r="C589" s="1" t="s">
        <v>60</v>
      </c>
      <c r="D589" s="1" t="s">
        <v>20</v>
      </c>
      <c r="E589" s="1">
        <v>277.0</v>
      </c>
      <c r="F589" s="1">
        <v>1248.52012</v>
      </c>
    </row>
    <row r="590" ht="14.25" customHeight="1">
      <c r="A590" s="1">
        <v>202412.0</v>
      </c>
      <c r="B590" s="1" t="s">
        <v>59</v>
      </c>
      <c r="C590" s="1" t="s">
        <v>60</v>
      </c>
      <c r="D590" s="1" t="s">
        <v>21</v>
      </c>
      <c r="E590" s="1">
        <v>274.0</v>
      </c>
      <c r="F590" s="1">
        <v>6969.40446</v>
      </c>
    </row>
    <row r="591" ht="14.25" customHeight="1">
      <c r="A591" s="1">
        <v>202412.0</v>
      </c>
      <c r="B591" s="1" t="s">
        <v>59</v>
      </c>
      <c r="C591" s="1" t="s">
        <v>60</v>
      </c>
      <c r="D591" s="1" t="s">
        <v>22</v>
      </c>
      <c r="E591" s="1">
        <v>6.0</v>
      </c>
      <c r="F591" s="1">
        <v>359.60951</v>
      </c>
    </row>
    <row r="592" ht="14.25" customHeight="1">
      <c r="A592" s="1">
        <v>202412.0</v>
      </c>
      <c r="B592" s="1" t="s">
        <v>59</v>
      </c>
      <c r="C592" s="1" t="s">
        <v>60</v>
      </c>
      <c r="D592" s="1" t="s">
        <v>23</v>
      </c>
      <c r="E592" s="1">
        <v>33149.0</v>
      </c>
      <c r="F592" s="1">
        <v>31420.20933</v>
      </c>
    </row>
    <row r="593" ht="14.25" customHeight="1">
      <c r="A593" s="1">
        <v>202412.0</v>
      </c>
      <c r="B593" s="1" t="s">
        <v>59</v>
      </c>
      <c r="C593" s="1" t="s">
        <v>60</v>
      </c>
      <c r="D593" s="1" t="s">
        <v>24</v>
      </c>
      <c r="E593" s="1">
        <v>16.0</v>
      </c>
      <c r="F593" s="1">
        <v>388.92545</v>
      </c>
    </row>
    <row r="594" ht="14.25" customHeight="1">
      <c r="A594" s="1">
        <v>202412.0</v>
      </c>
      <c r="B594" s="1" t="s">
        <v>59</v>
      </c>
      <c r="C594" s="1" t="s">
        <v>60</v>
      </c>
      <c r="D594" s="1" t="s">
        <v>25</v>
      </c>
      <c r="E594" s="1">
        <v>2865.0</v>
      </c>
      <c r="F594" s="1">
        <v>9201.04184</v>
      </c>
    </row>
    <row r="595" ht="14.25" customHeight="1">
      <c r="A595" s="1">
        <v>202412.0</v>
      </c>
      <c r="B595" s="1" t="s">
        <v>59</v>
      </c>
      <c r="C595" s="1" t="s">
        <v>60</v>
      </c>
      <c r="D595" s="1" t="s">
        <v>26</v>
      </c>
      <c r="E595" s="1">
        <v>3420.0</v>
      </c>
      <c r="F595" s="1">
        <v>6023.90678</v>
      </c>
    </row>
    <row r="596" ht="14.25" customHeight="1">
      <c r="A596" s="1">
        <v>202412.0</v>
      </c>
      <c r="B596" s="1" t="s">
        <v>59</v>
      </c>
      <c r="C596" s="1" t="s">
        <v>60</v>
      </c>
      <c r="D596" s="1" t="s">
        <v>27</v>
      </c>
      <c r="E596" s="1">
        <v>11.0</v>
      </c>
      <c r="F596" s="1">
        <v>1254.98347</v>
      </c>
    </row>
    <row r="597" ht="14.25" customHeight="1">
      <c r="A597" s="1">
        <v>202412.0</v>
      </c>
      <c r="B597" s="1" t="s">
        <v>59</v>
      </c>
      <c r="C597" s="1" t="s">
        <v>60</v>
      </c>
      <c r="D597" s="1" t="s">
        <v>28</v>
      </c>
      <c r="E597" s="1">
        <v>73.0</v>
      </c>
      <c r="F597" s="1">
        <v>887.62015</v>
      </c>
    </row>
    <row r="598" ht="14.25" customHeight="1">
      <c r="A598" s="1">
        <v>202412.0</v>
      </c>
      <c r="B598" s="1" t="s">
        <v>59</v>
      </c>
      <c r="C598" s="1" t="s">
        <v>60</v>
      </c>
      <c r="D598" s="1" t="s">
        <v>29</v>
      </c>
      <c r="E598" s="1">
        <v>74649.0</v>
      </c>
      <c r="F598" s="1">
        <v>123286.1436</v>
      </c>
    </row>
    <row r="599" ht="14.25" customHeight="1">
      <c r="A599" s="1">
        <v>202412.0</v>
      </c>
      <c r="B599" s="1" t="s">
        <v>59</v>
      </c>
      <c r="C599" s="1" t="s">
        <v>60</v>
      </c>
      <c r="D599" s="1" t="s">
        <v>30</v>
      </c>
      <c r="E599" s="1">
        <v>1.0</v>
      </c>
      <c r="F599" s="1">
        <v>1940.0124</v>
      </c>
    </row>
    <row r="600" ht="14.25" customHeight="1">
      <c r="A600" s="1">
        <v>202412.0</v>
      </c>
      <c r="B600" s="1" t="s">
        <v>59</v>
      </c>
      <c r="C600" s="1" t="s">
        <v>60</v>
      </c>
      <c r="D600" s="1" t="s">
        <v>31</v>
      </c>
      <c r="E600" s="1">
        <v>3766.0</v>
      </c>
      <c r="F600" s="1">
        <v>9571.39746</v>
      </c>
    </row>
    <row r="601" ht="14.25" customHeight="1">
      <c r="A601" s="1">
        <v>202412.0</v>
      </c>
      <c r="B601" s="1" t="s">
        <v>59</v>
      </c>
      <c r="C601" s="1" t="s">
        <v>60</v>
      </c>
      <c r="D601" s="1" t="s">
        <v>32</v>
      </c>
      <c r="E601" s="1">
        <v>35.0</v>
      </c>
      <c r="F601" s="1">
        <v>6540.44363</v>
      </c>
    </row>
    <row r="602" ht="14.25" customHeight="1">
      <c r="A602" s="1">
        <v>202412.0</v>
      </c>
      <c r="B602" s="1" t="s">
        <v>59</v>
      </c>
      <c r="C602" s="1" t="s">
        <v>60</v>
      </c>
      <c r="D602" s="1" t="s">
        <v>33</v>
      </c>
      <c r="E602" s="1">
        <v>14651.0</v>
      </c>
      <c r="F602" s="1">
        <v>101366.3026</v>
      </c>
    </row>
    <row r="603" ht="14.25" customHeight="1">
      <c r="A603" s="1">
        <v>202412.0</v>
      </c>
      <c r="B603" s="1" t="s">
        <v>59</v>
      </c>
      <c r="C603" s="1" t="s">
        <v>60</v>
      </c>
      <c r="D603" s="1" t="s">
        <v>34</v>
      </c>
      <c r="E603" s="1">
        <v>602.0</v>
      </c>
      <c r="F603" s="1">
        <v>13715.2201</v>
      </c>
    </row>
    <row r="604" ht="14.25" customHeight="1">
      <c r="A604" s="1">
        <v>202412.0</v>
      </c>
      <c r="B604" s="1" t="s">
        <v>59</v>
      </c>
      <c r="C604" s="1" t="s">
        <v>61</v>
      </c>
      <c r="D604" s="1" t="s">
        <v>9</v>
      </c>
      <c r="E604" s="1">
        <v>354.0</v>
      </c>
      <c r="F604" s="1">
        <v>3016.70271</v>
      </c>
    </row>
    <row r="605" ht="14.25" customHeight="1">
      <c r="A605" s="1">
        <v>202412.0</v>
      </c>
      <c r="B605" s="1" t="s">
        <v>59</v>
      </c>
      <c r="C605" s="1" t="s">
        <v>61</v>
      </c>
      <c r="D605" s="1" t="s">
        <v>10</v>
      </c>
      <c r="E605" s="1">
        <v>107236.0</v>
      </c>
      <c r="F605" s="1">
        <v>92508.17613</v>
      </c>
    </row>
    <row r="606" ht="14.25" customHeight="1">
      <c r="A606" s="1">
        <v>202412.0</v>
      </c>
      <c r="B606" s="1" t="s">
        <v>59</v>
      </c>
      <c r="C606" s="1" t="s">
        <v>61</v>
      </c>
      <c r="D606" s="1" t="s">
        <v>11</v>
      </c>
      <c r="E606" s="1">
        <v>73190.0</v>
      </c>
      <c r="F606" s="1">
        <v>45855.11072</v>
      </c>
    </row>
    <row r="607" ht="14.25" customHeight="1">
      <c r="A607" s="1">
        <v>202412.0</v>
      </c>
      <c r="B607" s="1" t="s">
        <v>59</v>
      </c>
      <c r="C607" s="1" t="s">
        <v>61</v>
      </c>
      <c r="D607" s="1" t="s">
        <v>12</v>
      </c>
      <c r="E607" s="1">
        <v>297.0</v>
      </c>
      <c r="F607" s="1">
        <v>3687.02061</v>
      </c>
    </row>
    <row r="608" ht="14.25" customHeight="1">
      <c r="A608" s="1">
        <v>202412.0</v>
      </c>
      <c r="B608" s="1" t="s">
        <v>59</v>
      </c>
      <c r="C608" s="1" t="s">
        <v>61</v>
      </c>
      <c r="D608" s="1" t="s">
        <v>13</v>
      </c>
      <c r="E608" s="1">
        <v>1565.0</v>
      </c>
      <c r="F608" s="1">
        <v>16748.10605</v>
      </c>
    </row>
    <row r="609" ht="14.25" customHeight="1">
      <c r="A609" s="1">
        <v>202412.0</v>
      </c>
      <c r="B609" s="1" t="s">
        <v>59</v>
      </c>
      <c r="C609" s="1" t="s">
        <v>61</v>
      </c>
      <c r="D609" s="1" t="s">
        <v>14</v>
      </c>
      <c r="E609" s="1">
        <v>1351.0</v>
      </c>
      <c r="F609" s="1">
        <v>12942.57681</v>
      </c>
    </row>
    <row r="610" ht="14.25" customHeight="1">
      <c r="A610" s="1">
        <v>202412.0</v>
      </c>
      <c r="B610" s="1" t="s">
        <v>59</v>
      </c>
      <c r="C610" s="1" t="s">
        <v>61</v>
      </c>
      <c r="D610" s="1" t="s">
        <v>15</v>
      </c>
      <c r="E610" s="1">
        <v>72.0</v>
      </c>
      <c r="F610" s="1">
        <v>6883.09271</v>
      </c>
    </row>
    <row r="611" ht="14.25" customHeight="1">
      <c r="A611" s="1">
        <v>202412.0</v>
      </c>
      <c r="B611" s="1" t="s">
        <v>59</v>
      </c>
      <c r="C611" s="1" t="s">
        <v>61</v>
      </c>
      <c r="D611" s="1" t="s">
        <v>16</v>
      </c>
      <c r="E611" s="1">
        <v>53625.0</v>
      </c>
      <c r="F611" s="1">
        <v>115555.4089</v>
      </c>
    </row>
    <row r="612" ht="14.25" customHeight="1">
      <c r="A612" s="1">
        <v>202412.0</v>
      </c>
      <c r="B612" s="1" t="s">
        <v>59</v>
      </c>
      <c r="C612" s="1" t="s">
        <v>61</v>
      </c>
      <c r="D612" s="1" t="s">
        <v>17</v>
      </c>
      <c r="E612" s="1">
        <v>9088.0</v>
      </c>
      <c r="F612" s="1">
        <v>15411.82083</v>
      </c>
    </row>
    <row r="613" ht="14.25" customHeight="1">
      <c r="A613" s="1">
        <v>202412.0</v>
      </c>
      <c r="B613" s="1" t="s">
        <v>59</v>
      </c>
      <c r="C613" s="1" t="s">
        <v>61</v>
      </c>
      <c r="D613" s="1" t="s">
        <v>18</v>
      </c>
      <c r="E613" s="1">
        <v>66344.0</v>
      </c>
      <c r="F613" s="1">
        <v>86719.36781</v>
      </c>
    </row>
    <row r="614" ht="14.25" customHeight="1">
      <c r="A614" s="1">
        <v>202412.0</v>
      </c>
      <c r="B614" s="1" t="s">
        <v>59</v>
      </c>
      <c r="C614" s="1" t="s">
        <v>61</v>
      </c>
      <c r="D614" s="1" t="s">
        <v>19</v>
      </c>
      <c r="E614" s="1">
        <v>85.0</v>
      </c>
      <c r="F614" s="1">
        <v>1626.82317</v>
      </c>
    </row>
    <row r="615" ht="14.25" customHeight="1">
      <c r="A615" s="1">
        <v>202412.0</v>
      </c>
      <c r="B615" s="1" t="s">
        <v>59</v>
      </c>
      <c r="C615" s="1" t="s">
        <v>61</v>
      </c>
      <c r="D615" s="1" t="s">
        <v>20</v>
      </c>
      <c r="E615" s="1">
        <v>629.0</v>
      </c>
      <c r="F615" s="1">
        <v>1682.22516</v>
      </c>
    </row>
    <row r="616" ht="14.25" customHeight="1">
      <c r="A616" s="1">
        <v>202412.0</v>
      </c>
      <c r="B616" s="1" t="s">
        <v>59</v>
      </c>
      <c r="C616" s="1" t="s">
        <v>61</v>
      </c>
      <c r="D616" s="1" t="s">
        <v>21</v>
      </c>
      <c r="E616" s="1">
        <v>1318.0</v>
      </c>
      <c r="F616" s="1">
        <v>27311.19128</v>
      </c>
    </row>
    <row r="617" ht="14.25" customHeight="1">
      <c r="A617" s="1">
        <v>202412.0</v>
      </c>
      <c r="B617" s="1" t="s">
        <v>59</v>
      </c>
      <c r="C617" s="1" t="s">
        <v>61</v>
      </c>
      <c r="D617" s="1" t="s">
        <v>22</v>
      </c>
      <c r="E617" s="1">
        <v>3.0</v>
      </c>
      <c r="F617" s="1">
        <v>87.47424</v>
      </c>
    </row>
    <row r="618" ht="14.25" customHeight="1">
      <c r="A618" s="1">
        <v>202412.0</v>
      </c>
      <c r="B618" s="1" t="s">
        <v>59</v>
      </c>
      <c r="C618" s="1" t="s">
        <v>61</v>
      </c>
      <c r="D618" s="1" t="s">
        <v>23</v>
      </c>
      <c r="E618" s="1">
        <v>105543.0</v>
      </c>
      <c r="F618" s="1">
        <v>84205.96474</v>
      </c>
    </row>
    <row r="619" ht="14.25" customHeight="1">
      <c r="A619" s="1">
        <v>202412.0</v>
      </c>
      <c r="B619" s="1" t="s">
        <v>59</v>
      </c>
      <c r="C619" s="1" t="s">
        <v>61</v>
      </c>
      <c r="D619" s="1" t="s">
        <v>24</v>
      </c>
      <c r="E619" s="1">
        <v>63.0</v>
      </c>
      <c r="F619" s="1">
        <v>739.28126</v>
      </c>
    </row>
    <row r="620" ht="14.25" customHeight="1">
      <c r="A620" s="1">
        <v>202412.0</v>
      </c>
      <c r="B620" s="1" t="s">
        <v>59</v>
      </c>
      <c r="C620" s="1" t="s">
        <v>61</v>
      </c>
      <c r="D620" s="1" t="s">
        <v>25</v>
      </c>
      <c r="E620" s="1">
        <v>6105.0</v>
      </c>
      <c r="F620" s="1">
        <v>15639.38166</v>
      </c>
    </row>
    <row r="621" ht="14.25" customHeight="1">
      <c r="A621" s="1">
        <v>202412.0</v>
      </c>
      <c r="B621" s="1" t="s">
        <v>59</v>
      </c>
      <c r="C621" s="1" t="s">
        <v>61</v>
      </c>
      <c r="D621" s="1" t="s">
        <v>26</v>
      </c>
      <c r="E621" s="1">
        <v>7591.0</v>
      </c>
      <c r="F621" s="1">
        <v>11580.08881</v>
      </c>
    </row>
    <row r="622" ht="14.25" customHeight="1">
      <c r="A622" s="1">
        <v>202412.0</v>
      </c>
      <c r="B622" s="1" t="s">
        <v>59</v>
      </c>
      <c r="C622" s="1" t="s">
        <v>61</v>
      </c>
      <c r="D622" s="1" t="s">
        <v>27</v>
      </c>
      <c r="E622" s="1">
        <v>39.0</v>
      </c>
      <c r="F622" s="1">
        <v>2800.66516</v>
      </c>
    </row>
    <row r="623" ht="14.25" customHeight="1">
      <c r="A623" s="1">
        <v>202412.0</v>
      </c>
      <c r="B623" s="1" t="s">
        <v>59</v>
      </c>
      <c r="C623" s="1" t="s">
        <v>61</v>
      </c>
      <c r="D623" s="1" t="s">
        <v>28</v>
      </c>
      <c r="E623" s="1">
        <v>227.0</v>
      </c>
      <c r="F623" s="1">
        <v>2666.86022</v>
      </c>
    </row>
    <row r="624" ht="14.25" customHeight="1">
      <c r="A624" s="1">
        <v>202412.0</v>
      </c>
      <c r="B624" s="1" t="s">
        <v>59</v>
      </c>
      <c r="C624" s="1" t="s">
        <v>61</v>
      </c>
      <c r="D624" s="1" t="s">
        <v>29</v>
      </c>
      <c r="E624" s="1">
        <v>165815.0</v>
      </c>
      <c r="F624" s="1">
        <v>212998.0397</v>
      </c>
    </row>
    <row r="625" ht="14.25" customHeight="1">
      <c r="A625" s="1">
        <v>202412.0</v>
      </c>
      <c r="B625" s="1" t="s">
        <v>59</v>
      </c>
      <c r="C625" s="1" t="s">
        <v>61</v>
      </c>
      <c r="D625" s="1" t="s">
        <v>30</v>
      </c>
      <c r="E625" s="1">
        <v>19.0</v>
      </c>
      <c r="F625" s="1">
        <v>16976.4356</v>
      </c>
    </row>
    <row r="626" ht="14.25" customHeight="1">
      <c r="A626" s="1">
        <v>202412.0</v>
      </c>
      <c r="B626" s="1" t="s">
        <v>59</v>
      </c>
      <c r="C626" s="1" t="s">
        <v>61</v>
      </c>
      <c r="D626" s="1" t="s">
        <v>31</v>
      </c>
      <c r="E626" s="1">
        <v>23659.0</v>
      </c>
      <c r="F626" s="1">
        <v>32143.60355</v>
      </c>
    </row>
    <row r="627" ht="14.25" customHeight="1">
      <c r="A627" s="1">
        <v>202412.0</v>
      </c>
      <c r="B627" s="1" t="s">
        <v>59</v>
      </c>
      <c r="C627" s="1" t="s">
        <v>61</v>
      </c>
      <c r="D627" s="1" t="s">
        <v>32</v>
      </c>
      <c r="E627" s="1">
        <v>114.0</v>
      </c>
      <c r="F627" s="1">
        <v>12136.0536</v>
      </c>
    </row>
    <row r="628" ht="14.25" customHeight="1">
      <c r="A628" s="1">
        <v>202412.0</v>
      </c>
      <c r="B628" s="1" t="s">
        <v>59</v>
      </c>
      <c r="C628" s="1" t="s">
        <v>61</v>
      </c>
      <c r="D628" s="1" t="s">
        <v>33</v>
      </c>
      <c r="E628" s="1">
        <v>40719.0</v>
      </c>
      <c r="F628" s="1">
        <v>218417.1961</v>
      </c>
    </row>
    <row r="629" ht="14.25" customHeight="1">
      <c r="A629" s="1">
        <v>202412.0</v>
      </c>
      <c r="B629" s="1" t="s">
        <v>59</v>
      </c>
      <c r="C629" s="1" t="s">
        <v>61</v>
      </c>
      <c r="D629" s="1" t="s">
        <v>34</v>
      </c>
      <c r="E629" s="1">
        <v>3669.0</v>
      </c>
      <c r="F629" s="1">
        <v>63848.61508</v>
      </c>
    </row>
    <row r="630" ht="14.25" customHeight="1">
      <c r="A630" s="1">
        <v>202412.0</v>
      </c>
      <c r="B630" s="1" t="s">
        <v>59</v>
      </c>
      <c r="C630" s="1" t="s">
        <v>62</v>
      </c>
      <c r="D630" s="1" t="s">
        <v>9</v>
      </c>
      <c r="E630" s="1">
        <v>6.0</v>
      </c>
      <c r="F630" s="1">
        <v>157.0043</v>
      </c>
    </row>
    <row r="631" ht="14.25" customHeight="1">
      <c r="A631" s="1">
        <v>202412.0</v>
      </c>
      <c r="B631" s="1" t="s">
        <v>59</v>
      </c>
      <c r="C631" s="1" t="s">
        <v>62</v>
      </c>
      <c r="D631" s="1" t="s">
        <v>10</v>
      </c>
      <c r="E631" s="1">
        <v>55792.0</v>
      </c>
      <c r="F631" s="1">
        <v>50645.89552</v>
      </c>
    </row>
    <row r="632" ht="14.25" customHeight="1">
      <c r="A632" s="1">
        <v>202412.0</v>
      </c>
      <c r="B632" s="1" t="s">
        <v>59</v>
      </c>
      <c r="C632" s="1" t="s">
        <v>62</v>
      </c>
      <c r="D632" s="1" t="s">
        <v>11</v>
      </c>
      <c r="E632" s="1">
        <v>33525.0</v>
      </c>
      <c r="F632" s="1">
        <v>20946.94653</v>
      </c>
    </row>
    <row r="633" ht="14.25" customHeight="1">
      <c r="A633" s="1">
        <v>202412.0</v>
      </c>
      <c r="B633" s="1" t="s">
        <v>59</v>
      </c>
      <c r="C633" s="1" t="s">
        <v>62</v>
      </c>
      <c r="D633" s="1" t="s">
        <v>12</v>
      </c>
      <c r="E633" s="1">
        <v>130.0</v>
      </c>
      <c r="F633" s="1">
        <v>1461.53577</v>
      </c>
    </row>
    <row r="634" ht="14.25" customHeight="1">
      <c r="A634" s="1">
        <v>202412.0</v>
      </c>
      <c r="B634" s="1" t="s">
        <v>59</v>
      </c>
      <c r="C634" s="1" t="s">
        <v>62</v>
      </c>
      <c r="D634" s="1" t="s">
        <v>13</v>
      </c>
      <c r="E634" s="1">
        <v>430.0</v>
      </c>
      <c r="F634" s="1">
        <v>6433.76387</v>
      </c>
    </row>
    <row r="635" ht="14.25" customHeight="1">
      <c r="A635" s="1">
        <v>202412.0</v>
      </c>
      <c r="B635" s="1" t="s">
        <v>59</v>
      </c>
      <c r="C635" s="1" t="s">
        <v>62</v>
      </c>
      <c r="D635" s="1" t="s">
        <v>14</v>
      </c>
      <c r="E635" s="1">
        <v>607.0</v>
      </c>
      <c r="F635" s="1">
        <v>5628.49806</v>
      </c>
    </row>
    <row r="636" ht="14.25" customHeight="1">
      <c r="A636" s="1">
        <v>202412.0</v>
      </c>
      <c r="B636" s="1" t="s">
        <v>59</v>
      </c>
      <c r="C636" s="1" t="s">
        <v>62</v>
      </c>
      <c r="D636" s="1" t="s">
        <v>15</v>
      </c>
      <c r="E636" s="1">
        <v>64.0</v>
      </c>
      <c r="F636" s="1">
        <v>8187.6536</v>
      </c>
    </row>
    <row r="637" ht="14.25" customHeight="1">
      <c r="A637" s="1">
        <v>202412.0</v>
      </c>
      <c r="B637" s="1" t="s">
        <v>59</v>
      </c>
      <c r="C637" s="1" t="s">
        <v>62</v>
      </c>
      <c r="D637" s="1" t="s">
        <v>16</v>
      </c>
      <c r="E637" s="1">
        <v>16011.0</v>
      </c>
      <c r="F637" s="1">
        <v>43230.55056</v>
      </c>
    </row>
    <row r="638" ht="14.25" customHeight="1">
      <c r="A638" s="1">
        <v>202412.0</v>
      </c>
      <c r="B638" s="1" t="s">
        <v>59</v>
      </c>
      <c r="C638" s="1" t="s">
        <v>62</v>
      </c>
      <c r="D638" s="1" t="s">
        <v>17</v>
      </c>
      <c r="E638" s="1">
        <v>3458.0</v>
      </c>
      <c r="F638" s="1">
        <v>6751.84707</v>
      </c>
    </row>
    <row r="639" ht="14.25" customHeight="1">
      <c r="A639" s="1">
        <v>202412.0</v>
      </c>
      <c r="B639" s="1" t="s">
        <v>59</v>
      </c>
      <c r="C639" s="1" t="s">
        <v>62</v>
      </c>
      <c r="D639" s="1" t="s">
        <v>18</v>
      </c>
      <c r="E639" s="1">
        <v>26060.0</v>
      </c>
      <c r="F639" s="1">
        <v>36270.35788</v>
      </c>
    </row>
    <row r="640" ht="14.25" customHeight="1">
      <c r="A640" s="1">
        <v>202412.0</v>
      </c>
      <c r="B640" s="1" t="s">
        <v>59</v>
      </c>
      <c r="C640" s="1" t="s">
        <v>62</v>
      </c>
      <c r="D640" s="1" t="s">
        <v>19</v>
      </c>
      <c r="E640" s="1">
        <v>80.0</v>
      </c>
      <c r="F640" s="1">
        <v>1358.7525</v>
      </c>
    </row>
    <row r="641" ht="14.25" customHeight="1">
      <c r="A641" s="1">
        <v>202412.0</v>
      </c>
      <c r="B641" s="1" t="s">
        <v>59</v>
      </c>
      <c r="C641" s="1" t="s">
        <v>62</v>
      </c>
      <c r="D641" s="1" t="s">
        <v>20</v>
      </c>
      <c r="E641" s="1">
        <v>319.0</v>
      </c>
      <c r="F641" s="1">
        <v>725.46733</v>
      </c>
    </row>
    <row r="642" ht="14.25" customHeight="1">
      <c r="A642" s="1">
        <v>202412.0</v>
      </c>
      <c r="B642" s="1" t="s">
        <v>59</v>
      </c>
      <c r="C642" s="1" t="s">
        <v>62</v>
      </c>
      <c r="D642" s="1" t="s">
        <v>21</v>
      </c>
      <c r="E642" s="1">
        <v>533.0</v>
      </c>
      <c r="F642" s="1">
        <v>12468.68733</v>
      </c>
    </row>
    <row r="643" ht="14.25" customHeight="1">
      <c r="A643" s="1">
        <v>202412.0</v>
      </c>
      <c r="B643" s="1" t="s">
        <v>59</v>
      </c>
      <c r="C643" s="1" t="s">
        <v>62</v>
      </c>
      <c r="D643" s="1" t="s">
        <v>22</v>
      </c>
      <c r="E643" s="1">
        <v>1.0</v>
      </c>
      <c r="F643" s="1">
        <v>112.3724</v>
      </c>
    </row>
    <row r="644" ht="14.25" customHeight="1">
      <c r="A644" s="1">
        <v>202412.0</v>
      </c>
      <c r="B644" s="1" t="s">
        <v>59</v>
      </c>
      <c r="C644" s="1" t="s">
        <v>62</v>
      </c>
      <c r="D644" s="1" t="s">
        <v>23</v>
      </c>
      <c r="E644" s="1">
        <v>36225.0</v>
      </c>
      <c r="F644" s="1">
        <v>34095.41949</v>
      </c>
    </row>
    <row r="645" ht="14.25" customHeight="1">
      <c r="A645" s="1">
        <v>202412.0</v>
      </c>
      <c r="B645" s="1" t="s">
        <v>59</v>
      </c>
      <c r="C645" s="1" t="s">
        <v>62</v>
      </c>
      <c r="D645" s="1" t="s">
        <v>24</v>
      </c>
      <c r="E645" s="1">
        <v>29.0</v>
      </c>
      <c r="F645" s="1">
        <v>547.16063</v>
      </c>
    </row>
    <row r="646" ht="14.25" customHeight="1">
      <c r="A646" s="1">
        <v>202412.0</v>
      </c>
      <c r="B646" s="1" t="s">
        <v>59</v>
      </c>
      <c r="C646" s="1" t="s">
        <v>62</v>
      </c>
      <c r="D646" s="1" t="s">
        <v>25</v>
      </c>
      <c r="E646" s="1">
        <v>2681.0</v>
      </c>
      <c r="F646" s="1">
        <v>8663.05826</v>
      </c>
    </row>
    <row r="647" ht="14.25" customHeight="1">
      <c r="A647" s="1">
        <v>202412.0</v>
      </c>
      <c r="B647" s="1" t="s">
        <v>59</v>
      </c>
      <c r="C647" s="1" t="s">
        <v>62</v>
      </c>
      <c r="D647" s="1" t="s">
        <v>26</v>
      </c>
      <c r="E647" s="1">
        <v>4147.0</v>
      </c>
      <c r="F647" s="1">
        <v>6974.47946</v>
      </c>
    </row>
    <row r="648" ht="14.25" customHeight="1">
      <c r="A648" s="1">
        <v>202412.0</v>
      </c>
      <c r="B648" s="1" t="s">
        <v>59</v>
      </c>
      <c r="C648" s="1" t="s">
        <v>62</v>
      </c>
      <c r="D648" s="1" t="s">
        <v>27</v>
      </c>
      <c r="E648" s="1">
        <v>4.0</v>
      </c>
      <c r="F648" s="1">
        <v>202.0496</v>
      </c>
    </row>
    <row r="649" ht="14.25" customHeight="1">
      <c r="A649" s="1">
        <v>202412.0</v>
      </c>
      <c r="B649" s="1" t="s">
        <v>59</v>
      </c>
      <c r="C649" s="1" t="s">
        <v>62</v>
      </c>
      <c r="D649" s="1" t="s">
        <v>28</v>
      </c>
      <c r="E649" s="1">
        <v>51.0</v>
      </c>
      <c r="F649" s="1">
        <v>833.38979</v>
      </c>
    </row>
    <row r="650" ht="14.25" customHeight="1">
      <c r="A650" s="1">
        <v>202412.0</v>
      </c>
      <c r="B650" s="1" t="s">
        <v>59</v>
      </c>
      <c r="C650" s="1" t="s">
        <v>62</v>
      </c>
      <c r="D650" s="1" t="s">
        <v>29</v>
      </c>
      <c r="E650" s="1">
        <v>67892.0</v>
      </c>
      <c r="F650" s="1">
        <v>89989.84759</v>
      </c>
    </row>
    <row r="651" ht="14.25" customHeight="1">
      <c r="A651" s="1">
        <v>202412.0</v>
      </c>
      <c r="B651" s="1" t="s">
        <v>59</v>
      </c>
      <c r="C651" s="1" t="s">
        <v>62</v>
      </c>
      <c r="D651" s="1" t="s">
        <v>30</v>
      </c>
      <c r="E651" s="1">
        <v>1.0</v>
      </c>
      <c r="F651" s="1">
        <v>970.0124</v>
      </c>
    </row>
    <row r="652" ht="14.25" customHeight="1">
      <c r="A652" s="1">
        <v>202412.0</v>
      </c>
      <c r="B652" s="1" t="s">
        <v>59</v>
      </c>
      <c r="C652" s="1" t="s">
        <v>62</v>
      </c>
      <c r="D652" s="1" t="s">
        <v>31</v>
      </c>
      <c r="E652" s="1">
        <v>7737.0</v>
      </c>
      <c r="F652" s="1">
        <v>14153.026</v>
      </c>
    </row>
    <row r="653" ht="14.25" customHeight="1">
      <c r="A653" s="1">
        <v>202412.0</v>
      </c>
      <c r="B653" s="1" t="s">
        <v>59</v>
      </c>
      <c r="C653" s="1" t="s">
        <v>62</v>
      </c>
      <c r="D653" s="1" t="s">
        <v>32</v>
      </c>
      <c r="E653" s="1">
        <v>21.0</v>
      </c>
      <c r="F653" s="1">
        <v>4764.9104</v>
      </c>
    </row>
    <row r="654" ht="14.25" customHeight="1">
      <c r="A654" s="1">
        <v>202412.0</v>
      </c>
      <c r="B654" s="1" t="s">
        <v>59</v>
      </c>
      <c r="C654" s="1" t="s">
        <v>62</v>
      </c>
      <c r="D654" s="1" t="s">
        <v>33</v>
      </c>
      <c r="E654" s="1">
        <v>9475.0</v>
      </c>
      <c r="F654" s="1">
        <v>62865.53064</v>
      </c>
    </row>
    <row r="655" ht="14.25" customHeight="1">
      <c r="A655" s="1">
        <v>202412.0</v>
      </c>
      <c r="B655" s="1" t="s">
        <v>59</v>
      </c>
      <c r="C655" s="1" t="s">
        <v>62</v>
      </c>
      <c r="D655" s="1" t="s">
        <v>34</v>
      </c>
      <c r="E655" s="1">
        <v>297.0</v>
      </c>
      <c r="F655" s="1">
        <v>5423.30956</v>
      </c>
    </row>
    <row r="656" ht="14.25" customHeight="1">
      <c r="A656" s="1">
        <v>202412.0</v>
      </c>
      <c r="B656" s="1" t="s">
        <v>59</v>
      </c>
      <c r="C656" s="1" t="s">
        <v>63</v>
      </c>
      <c r="D656" s="1" t="s">
        <v>9</v>
      </c>
      <c r="E656" s="1">
        <v>76.0</v>
      </c>
      <c r="F656" s="1">
        <v>723.43865</v>
      </c>
    </row>
    <row r="657" ht="14.25" customHeight="1">
      <c r="A657" s="1">
        <v>202412.0</v>
      </c>
      <c r="B657" s="1" t="s">
        <v>59</v>
      </c>
      <c r="C657" s="1" t="s">
        <v>63</v>
      </c>
      <c r="D657" s="1" t="s">
        <v>10</v>
      </c>
      <c r="E657" s="1">
        <v>67629.0</v>
      </c>
      <c r="F657" s="1">
        <v>66764.08726</v>
      </c>
    </row>
    <row r="658" ht="14.25" customHeight="1">
      <c r="A658" s="1">
        <v>202412.0</v>
      </c>
      <c r="B658" s="1" t="s">
        <v>59</v>
      </c>
      <c r="C658" s="1" t="s">
        <v>63</v>
      </c>
      <c r="D658" s="1" t="s">
        <v>11</v>
      </c>
      <c r="E658" s="1">
        <v>45049.0</v>
      </c>
      <c r="F658" s="1">
        <v>31787.34854</v>
      </c>
    </row>
    <row r="659" ht="14.25" customHeight="1">
      <c r="A659" s="1">
        <v>202412.0</v>
      </c>
      <c r="B659" s="1" t="s">
        <v>59</v>
      </c>
      <c r="C659" s="1" t="s">
        <v>63</v>
      </c>
      <c r="D659" s="1" t="s">
        <v>12</v>
      </c>
      <c r="E659" s="1">
        <v>224.0</v>
      </c>
      <c r="F659" s="1">
        <v>2784.94395</v>
      </c>
    </row>
    <row r="660" ht="14.25" customHeight="1">
      <c r="A660" s="1">
        <v>202412.0</v>
      </c>
      <c r="B660" s="1" t="s">
        <v>59</v>
      </c>
      <c r="C660" s="1" t="s">
        <v>63</v>
      </c>
      <c r="D660" s="1" t="s">
        <v>13</v>
      </c>
      <c r="E660" s="1">
        <v>897.0</v>
      </c>
      <c r="F660" s="1">
        <v>10509.3746</v>
      </c>
    </row>
    <row r="661" ht="14.25" customHeight="1">
      <c r="A661" s="1">
        <v>202412.0</v>
      </c>
      <c r="B661" s="1" t="s">
        <v>59</v>
      </c>
      <c r="C661" s="1" t="s">
        <v>63</v>
      </c>
      <c r="D661" s="1" t="s">
        <v>14</v>
      </c>
      <c r="E661" s="1">
        <v>1122.0</v>
      </c>
      <c r="F661" s="1">
        <v>10473.12943</v>
      </c>
    </row>
    <row r="662" ht="14.25" customHeight="1">
      <c r="A662" s="1">
        <v>202412.0</v>
      </c>
      <c r="B662" s="1" t="s">
        <v>59</v>
      </c>
      <c r="C662" s="1" t="s">
        <v>63</v>
      </c>
      <c r="D662" s="1" t="s">
        <v>15</v>
      </c>
      <c r="E662" s="1">
        <v>115.0</v>
      </c>
      <c r="F662" s="1">
        <v>19683.266</v>
      </c>
    </row>
    <row r="663" ht="14.25" customHeight="1">
      <c r="A663" s="1">
        <v>202412.0</v>
      </c>
      <c r="B663" s="1" t="s">
        <v>59</v>
      </c>
      <c r="C663" s="1" t="s">
        <v>63</v>
      </c>
      <c r="D663" s="1" t="s">
        <v>16</v>
      </c>
      <c r="E663" s="1">
        <v>14806.0</v>
      </c>
      <c r="F663" s="1">
        <v>45637.95308</v>
      </c>
    </row>
    <row r="664" ht="14.25" customHeight="1">
      <c r="A664" s="1">
        <v>202412.0</v>
      </c>
      <c r="B664" s="1" t="s">
        <v>59</v>
      </c>
      <c r="C664" s="1" t="s">
        <v>63</v>
      </c>
      <c r="D664" s="1" t="s">
        <v>17</v>
      </c>
      <c r="E664" s="1">
        <v>4933.0</v>
      </c>
      <c r="F664" s="1">
        <v>9917.96094</v>
      </c>
    </row>
    <row r="665" ht="14.25" customHeight="1">
      <c r="A665" s="1">
        <v>202412.0</v>
      </c>
      <c r="B665" s="1" t="s">
        <v>59</v>
      </c>
      <c r="C665" s="1" t="s">
        <v>63</v>
      </c>
      <c r="D665" s="1" t="s">
        <v>18</v>
      </c>
      <c r="E665" s="1">
        <v>31588.0</v>
      </c>
      <c r="F665" s="1">
        <v>51200.63188</v>
      </c>
    </row>
    <row r="666" ht="14.25" customHeight="1">
      <c r="A666" s="1">
        <v>202412.0</v>
      </c>
      <c r="B666" s="1" t="s">
        <v>59</v>
      </c>
      <c r="C666" s="1" t="s">
        <v>63</v>
      </c>
      <c r="D666" s="1" t="s">
        <v>19</v>
      </c>
      <c r="E666" s="1">
        <v>95.0</v>
      </c>
      <c r="F666" s="1">
        <v>1694.6189</v>
      </c>
    </row>
    <row r="667" ht="14.25" customHeight="1">
      <c r="A667" s="1">
        <v>202412.0</v>
      </c>
      <c r="B667" s="1" t="s">
        <v>59</v>
      </c>
      <c r="C667" s="1" t="s">
        <v>63</v>
      </c>
      <c r="D667" s="1" t="s">
        <v>20</v>
      </c>
      <c r="E667" s="1">
        <v>332.0</v>
      </c>
      <c r="F667" s="1">
        <v>1257.5099</v>
      </c>
    </row>
    <row r="668" ht="14.25" customHeight="1">
      <c r="A668" s="1">
        <v>202412.0</v>
      </c>
      <c r="B668" s="1" t="s">
        <v>59</v>
      </c>
      <c r="C668" s="1" t="s">
        <v>63</v>
      </c>
      <c r="D668" s="1" t="s">
        <v>37</v>
      </c>
      <c r="E668" s="1">
        <v>2.0</v>
      </c>
      <c r="F668" s="1">
        <v>575.6548</v>
      </c>
    </row>
    <row r="669" ht="14.25" customHeight="1">
      <c r="A669" s="1">
        <v>202412.0</v>
      </c>
      <c r="B669" s="1" t="s">
        <v>59</v>
      </c>
      <c r="C669" s="1" t="s">
        <v>63</v>
      </c>
      <c r="D669" s="1" t="s">
        <v>21</v>
      </c>
      <c r="E669" s="1">
        <v>446.0</v>
      </c>
      <c r="F669" s="1">
        <v>9326.99235</v>
      </c>
    </row>
    <row r="670" ht="14.25" customHeight="1">
      <c r="A670" s="1">
        <v>202412.0</v>
      </c>
      <c r="B670" s="1" t="s">
        <v>59</v>
      </c>
      <c r="C670" s="1" t="s">
        <v>63</v>
      </c>
      <c r="D670" s="1" t="s">
        <v>22</v>
      </c>
      <c r="E670" s="1">
        <v>1.0</v>
      </c>
      <c r="F670" s="1">
        <v>112.3724</v>
      </c>
    </row>
    <row r="671" ht="14.25" customHeight="1">
      <c r="A671" s="1">
        <v>202412.0</v>
      </c>
      <c r="B671" s="1" t="s">
        <v>59</v>
      </c>
      <c r="C671" s="1" t="s">
        <v>63</v>
      </c>
      <c r="D671" s="1" t="s">
        <v>23</v>
      </c>
      <c r="E671" s="1">
        <v>53297.0</v>
      </c>
      <c r="F671" s="1">
        <v>49051.70084</v>
      </c>
    </row>
    <row r="672" ht="14.25" customHeight="1">
      <c r="A672" s="1">
        <v>202412.0</v>
      </c>
      <c r="B672" s="1" t="s">
        <v>59</v>
      </c>
      <c r="C672" s="1" t="s">
        <v>63</v>
      </c>
      <c r="D672" s="1" t="s">
        <v>24</v>
      </c>
      <c r="E672" s="1">
        <v>33.0</v>
      </c>
      <c r="F672" s="1">
        <v>467.90594</v>
      </c>
    </row>
    <row r="673" ht="14.25" customHeight="1">
      <c r="A673" s="1">
        <v>202412.0</v>
      </c>
      <c r="B673" s="1" t="s">
        <v>59</v>
      </c>
      <c r="C673" s="1" t="s">
        <v>63</v>
      </c>
      <c r="D673" s="1" t="s">
        <v>25</v>
      </c>
      <c r="E673" s="1">
        <v>3555.0</v>
      </c>
      <c r="F673" s="1">
        <v>11892.88054</v>
      </c>
    </row>
    <row r="674" ht="14.25" customHeight="1">
      <c r="A674" s="1">
        <v>202412.0</v>
      </c>
      <c r="B674" s="1" t="s">
        <v>59</v>
      </c>
      <c r="C674" s="1" t="s">
        <v>63</v>
      </c>
      <c r="D674" s="1" t="s">
        <v>26</v>
      </c>
      <c r="E674" s="1">
        <v>4237.0</v>
      </c>
      <c r="F674" s="1">
        <v>7961.68784</v>
      </c>
    </row>
    <row r="675" ht="14.25" customHeight="1">
      <c r="A675" s="1">
        <v>202412.0</v>
      </c>
      <c r="B675" s="1" t="s">
        <v>59</v>
      </c>
      <c r="C675" s="1" t="s">
        <v>63</v>
      </c>
      <c r="D675" s="1" t="s">
        <v>27</v>
      </c>
      <c r="E675" s="1">
        <v>11.0</v>
      </c>
      <c r="F675" s="1">
        <v>1400.0364</v>
      </c>
    </row>
    <row r="676" ht="14.25" customHeight="1">
      <c r="A676" s="1">
        <v>202412.0</v>
      </c>
      <c r="B676" s="1" t="s">
        <v>59</v>
      </c>
      <c r="C676" s="1" t="s">
        <v>63</v>
      </c>
      <c r="D676" s="1" t="s">
        <v>28</v>
      </c>
      <c r="E676" s="1">
        <v>128.0</v>
      </c>
      <c r="F676" s="1">
        <v>1546.09082</v>
      </c>
    </row>
    <row r="677" ht="14.25" customHeight="1">
      <c r="A677" s="1">
        <v>202412.0</v>
      </c>
      <c r="B677" s="1" t="s">
        <v>59</v>
      </c>
      <c r="C677" s="1" t="s">
        <v>63</v>
      </c>
      <c r="D677" s="1" t="s">
        <v>29</v>
      </c>
      <c r="E677" s="1">
        <v>96605.0</v>
      </c>
      <c r="F677" s="1">
        <v>171575.0245</v>
      </c>
    </row>
    <row r="678" ht="14.25" customHeight="1">
      <c r="A678" s="1">
        <v>202412.0</v>
      </c>
      <c r="B678" s="1" t="s">
        <v>59</v>
      </c>
      <c r="C678" s="1" t="s">
        <v>63</v>
      </c>
      <c r="D678" s="1" t="s">
        <v>30</v>
      </c>
      <c r="E678" s="1">
        <v>10.0</v>
      </c>
      <c r="F678" s="1">
        <v>19504.154</v>
      </c>
    </row>
    <row r="679" ht="14.25" customHeight="1">
      <c r="A679" s="1">
        <v>202412.0</v>
      </c>
      <c r="B679" s="1" t="s">
        <v>59</v>
      </c>
      <c r="C679" s="1" t="s">
        <v>63</v>
      </c>
      <c r="D679" s="1" t="s">
        <v>31</v>
      </c>
      <c r="E679" s="1">
        <v>7604.0</v>
      </c>
      <c r="F679" s="1">
        <v>18560.30483</v>
      </c>
    </row>
    <row r="680" ht="14.25" customHeight="1">
      <c r="A680" s="1">
        <v>202412.0</v>
      </c>
      <c r="B680" s="1" t="s">
        <v>59</v>
      </c>
      <c r="C680" s="1" t="s">
        <v>63</v>
      </c>
      <c r="D680" s="1" t="s">
        <v>32</v>
      </c>
      <c r="E680" s="1">
        <v>72.0</v>
      </c>
      <c r="F680" s="1">
        <v>13311.5728</v>
      </c>
    </row>
    <row r="681" ht="14.25" customHeight="1">
      <c r="A681" s="1">
        <v>202412.0</v>
      </c>
      <c r="B681" s="1" t="s">
        <v>59</v>
      </c>
      <c r="C681" s="1" t="s">
        <v>63</v>
      </c>
      <c r="D681" s="1" t="s">
        <v>33</v>
      </c>
      <c r="E681" s="1">
        <v>19210.0</v>
      </c>
      <c r="F681" s="1">
        <v>142193.1385</v>
      </c>
    </row>
    <row r="682" ht="14.25" customHeight="1">
      <c r="A682" s="1">
        <v>202412.0</v>
      </c>
      <c r="B682" s="1" t="s">
        <v>59</v>
      </c>
      <c r="C682" s="1" t="s">
        <v>63</v>
      </c>
      <c r="D682" s="1" t="s">
        <v>34</v>
      </c>
      <c r="E682" s="1">
        <v>1134.0</v>
      </c>
      <c r="F682" s="1">
        <v>19719.98372</v>
      </c>
    </row>
    <row r="683" ht="14.25" customHeight="1">
      <c r="A683" s="1">
        <v>202412.0</v>
      </c>
      <c r="B683" s="1" t="s">
        <v>64</v>
      </c>
      <c r="C683" s="1" t="s">
        <v>65</v>
      </c>
      <c r="D683" s="1" t="s">
        <v>9</v>
      </c>
      <c r="E683" s="1">
        <v>36.0</v>
      </c>
      <c r="F683" s="1">
        <v>495.99201</v>
      </c>
    </row>
    <row r="684" ht="14.25" customHeight="1">
      <c r="A684" s="1">
        <v>202412.0</v>
      </c>
      <c r="B684" s="1" t="s">
        <v>64</v>
      </c>
      <c r="C684" s="1" t="s">
        <v>65</v>
      </c>
      <c r="D684" s="1" t="s">
        <v>10</v>
      </c>
      <c r="E684" s="1">
        <v>62759.0</v>
      </c>
      <c r="F684" s="1">
        <v>61964.21036</v>
      </c>
    </row>
    <row r="685" ht="14.25" customHeight="1">
      <c r="A685" s="1">
        <v>202412.0</v>
      </c>
      <c r="B685" s="1" t="s">
        <v>64</v>
      </c>
      <c r="C685" s="1" t="s">
        <v>65</v>
      </c>
      <c r="D685" s="1" t="s">
        <v>11</v>
      </c>
      <c r="E685" s="1">
        <v>53053.0</v>
      </c>
      <c r="F685" s="1">
        <v>36515.99048</v>
      </c>
    </row>
    <row r="686" ht="14.25" customHeight="1">
      <c r="A686" s="1">
        <v>202412.0</v>
      </c>
      <c r="B686" s="1" t="s">
        <v>64</v>
      </c>
      <c r="C686" s="1" t="s">
        <v>65</v>
      </c>
      <c r="D686" s="1" t="s">
        <v>12</v>
      </c>
      <c r="E686" s="1">
        <v>257.0</v>
      </c>
      <c r="F686" s="1">
        <v>3086.92868</v>
      </c>
    </row>
    <row r="687" ht="14.25" customHeight="1">
      <c r="A687" s="1">
        <v>202412.0</v>
      </c>
      <c r="B687" s="1" t="s">
        <v>64</v>
      </c>
      <c r="C687" s="1" t="s">
        <v>65</v>
      </c>
      <c r="D687" s="1" t="s">
        <v>13</v>
      </c>
      <c r="E687" s="1">
        <v>1170.0</v>
      </c>
      <c r="F687" s="1">
        <v>16435.42698</v>
      </c>
    </row>
    <row r="688" ht="14.25" customHeight="1">
      <c r="A688" s="1">
        <v>202412.0</v>
      </c>
      <c r="B688" s="1" t="s">
        <v>64</v>
      </c>
      <c r="C688" s="1" t="s">
        <v>65</v>
      </c>
      <c r="D688" s="1" t="s">
        <v>14</v>
      </c>
      <c r="E688" s="1">
        <v>1533.0</v>
      </c>
      <c r="F688" s="1">
        <v>16976.0792</v>
      </c>
    </row>
    <row r="689" ht="14.25" customHeight="1">
      <c r="A689" s="1">
        <v>202412.0</v>
      </c>
      <c r="B689" s="1" t="s">
        <v>64</v>
      </c>
      <c r="C689" s="1" t="s">
        <v>65</v>
      </c>
      <c r="D689" s="1" t="s">
        <v>15</v>
      </c>
      <c r="E689" s="1">
        <v>48.0</v>
      </c>
      <c r="F689" s="1">
        <v>5534.3352</v>
      </c>
    </row>
    <row r="690" ht="14.25" customHeight="1">
      <c r="A690" s="1">
        <v>202412.0</v>
      </c>
      <c r="B690" s="1" t="s">
        <v>64</v>
      </c>
      <c r="C690" s="1" t="s">
        <v>65</v>
      </c>
      <c r="D690" s="1" t="s">
        <v>16</v>
      </c>
      <c r="E690" s="1">
        <v>24732.0</v>
      </c>
      <c r="F690" s="1">
        <v>76086.98784</v>
      </c>
    </row>
    <row r="691" ht="14.25" customHeight="1">
      <c r="A691" s="1">
        <v>202412.0</v>
      </c>
      <c r="B691" s="1" t="s">
        <v>64</v>
      </c>
      <c r="C691" s="1" t="s">
        <v>65</v>
      </c>
      <c r="D691" s="1" t="s">
        <v>17</v>
      </c>
      <c r="E691" s="1">
        <v>8417.0</v>
      </c>
      <c r="F691" s="1">
        <v>16956.76401</v>
      </c>
    </row>
    <row r="692" ht="14.25" customHeight="1">
      <c r="A692" s="1">
        <v>202412.0</v>
      </c>
      <c r="B692" s="1" t="s">
        <v>64</v>
      </c>
      <c r="C692" s="1" t="s">
        <v>65</v>
      </c>
      <c r="D692" s="1" t="s">
        <v>18</v>
      </c>
      <c r="E692" s="1">
        <v>38298.0</v>
      </c>
      <c r="F692" s="1">
        <v>65035.1865</v>
      </c>
    </row>
    <row r="693" ht="14.25" customHeight="1">
      <c r="A693" s="1">
        <v>202412.0</v>
      </c>
      <c r="B693" s="1" t="s">
        <v>64</v>
      </c>
      <c r="C693" s="1" t="s">
        <v>65</v>
      </c>
      <c r="D693" s="1" t="s">
        <v>19</v>
      </c>
      <c r="E693" s="1">
        <v>113.0</v>
      </c>
      <c r="F693" s="1">
        <v>1549.51076</v>
      </c>
    </row>
    <row r="694" ht="14.25" customHeight="1">
      <c r="A694" s="1">
        <v>202412.0</v>
      </c>
      <c r="B694" s="1" t="s">
        <v>64</v>
      </c>
      <c r="C694" s="1" t="s">
        <v>65</v>
      </c>
      <c r="D694" s="1" t="s">
        <v>20</v>
      </c>
      <c r="E694" s="1">
        <v>260.0</v>
      </c>
      <c r="F694" s="1">
        <v>645.45676</v>
      </c>
    </row>
    <row r="695" ht="14.25" customHeight="1">
      <c r="A695" s="1">
        <v>202412.0</v>
      </c>
      <c r="B695" s="1" t="s">
        <v>64</v>
      </c>
      <c r="C695" s="1" t="s">
        <v>65</v>
      </c>
      <c r="D695" s="1" t="s">
        <v>21</v>
      </c>
      <c r="E695" s="1">
        <v>400.0</v>
      </c>
      <c r="F695" s="1">
        <v>10118.9616</v>
      </c>
    </row>
    <row r="696" ht="14.25" customHeight="1">
      <c r="A696" s="1">
        <v>202412.0</v>
      </c>
      <c r="B696" s="1" t="s">
        <v>64</v>
      </c>
      <c r="C696" s="1" t="s">
        <v>65</v>
      </c>
      <c r="D696" s="1" t="s">
        <v>22</v>
      </c>
      <c r="E696" s="1">
        <v>6.0</v>
      </c>
      <c r="F696" s="1">
        <v>312.23144</v>
      </c>
    </row>
    <row r="697" ht="14.25" customHeight="1">
      <c r="A697" s="1">
        <v>202412.0</v>
      </c>
      <c r="B697" s="1" t="s">
        <v>64</v>
      </c>
      <c r="C697" s="1" t="s">
        <v>65</v>
      </c>
      <c r="D697" s="1" t="s">
        <v>23</v>
      </c>
      <c r="E697" s="1">
        <v>75264.0</v>
      </c>
      <c r="F697" s="1">
        <v>74072.59302</v>
      </c>
    </row>
    <row r="698" ht="14.25" customHeight="1">
      <c r="A698" s="1">
        <v>202412.0</v>
      </c>
      <c r="B698" s="1" t="s">
        <v>64</v>
      </c>
      <c r="C698" s="1" t="s">
        <v>65</v>
      </c>
      <c r="D698" s="1" t="s">
        <v>24</v>
      </c>
      <c r="E698" s="1">
        <v>24.0</v>
      </c>
      <c r="F698" s="1">
        <v>536.79475</v>
      </c>
    </row>
    <row r="699" ht="14.25" customHeight="1">
      <c r="A699" s="1">
        <v>202412.0</v>
      </c>
      <c r="B699" s="1" t="s">
        <v>64</v>
      </c>
      <c r="C699" s="1" t="s">
        <v>65</v>
      </c>
      <c r="D699" s="1" t="s">
        <v>25</v>
      </c>
      <c r="E699" s="1">
        <v>5036.0</v>
      </c>
      <c r="F699" s="1">
        <v>16175.73409</v>
      </c>
    </row>
    <row r="700" ht="14.25" customHeight="1">
      <c r="A700" s="1">
        <v>202412.0</v>
      </c>
      <c r="B700" s="1" t="s">
        <v>64</v>
      </c>
      <c r="C700" s="1" t="s">
        <v>65</v>
      </c>
      <c r="D700" s="1" t="s">
        <v>26</v>
      </c>
      <c r="E700" s="1">
        <v>5940.0</v>
      </c>
      <c r="F700" s="1">
        <v>11336.10082</v>
      </c>
    </row>
    <row r="701" ht="14.25" customHeight="1">
      <c r="A701" s="1">
        <v>202412.0</v>
      </c>
      <c r="B701" s="1" t="s">
        <v>64</v>
      </c>
      <c r="C701" s="1" t="s">
        <v>65</v>
      </c>
      <c r="D701" s="1" t="s">
        <v>27</v>
      </c>
      <c r="E701" s="1">
        <v>11.0</v>
      </c>
      <c r="F701" s="1">
        <v>1788.7364</v>
      </c>
    </row>
    <row r="702" ht="14.25" customHeight="1">
      <c r="A702" s="1">
        <v>202412.0</v>
      </c>
      <c r="B702" s="1" t="s">
        <v>64</v>
      </c>
      <c r="C702" s="1" t="s">
        <v>65</v>
      </c>
      <c r="D702" s="1" t="s">
        <v>28</v>
      </c>
      <c r="E702" s="1">
        <v>78.0</v>
      </c>
      <c r="F702" s="1">
        <v>1217.07856</v>
      </c>
    </row>
    <row r="703" ht="14.25" customHeight="1">
      <c r="A703" s="1">
        <v>202412.0</v>
      </c>
      <c r="B703" s="1" t="s">
        <v>64</v>
      </c>
      <c r="C703" s="1" t="s">
        <v>65</v>
      </c>
      <c r="D703" s="1" t="s">
        <v>29</v>
      </c>
      <c r="E703" s="1">
        <v>128167.0</v>
      </c>
      <c r="F703" s="1">
        <v>200745.4692</v>
      </c>
    </row>
    <row r="704" ht="14.25" customHeight="1">
      <c r="A704" s="1">
        <v>202412.0</v>
      </c>
      <c r="B704" s="1" t="s">
        <v>64</v>
      </c>
      <c r="C704" s="1" t="s">
        <v>65</v>
      </c>
      <c r="D704" s="1" t="s">
        <v>30</v>
      </c>
      <c r="E704" s="1">
        <v>5.0</v>
      </c>
      <c r="F704" s="1">
        <v>2979.452</v>
      </c>
    </row>
    <row r="705" ht="14.25" customHeight="1">
      <c r="A705" s="1">
        <v>202412.0</v>
      </c>
      <c r="B705" s="1" t="s">
        <v>64</v>
      </c>
      <c r="C705" s="1" t="s">
        <v>65</v>
      </c>
      <c r="D705" s="1" t="s">
        <v>31</v>
      </c>
      <c r="E705" s="1">
        <v>5296.0</v>
      </c>
      <c r="F705" s="1">
        <v>14268.27033</v>
      </c>
    </row>
    <row r="706" ht="14.25" customHeight="1">
      <c r="A706" s="1">
        <v>202412.0</v>
      </c>
      <c r="B706" s="1" t="s">
        <v>64</v>
      </c>
      <c r="C706" s="1" t="s">
        <v>65</v>
      </c>
      <c r="D706" s="1" t="s">
        <v>32</v>
      </c>
      <c r="E706" s="1">
        <v>32.0</v>
      </c>
      <c r="F706" s="1">
        <v>6215.5268</v>
      </c>
    </row>
    <row r="707" ht="14.25" customHeight="1">
      <c r="A707" s="1">
        <v>202412.0</v>
      </c>
      <c r="B707" s="1" t="s">
        <v>64</v>
      </c>
      <c r="C707" s="1" t="s">
        <v>65</v>
      </c>
      <c r="D707" s="1" t="s">
        <v>33</v>
      </c>
      <c r="E707" s="1">
        <v>34151.0</v>
      </c>
      <c r="F707" s="1">
        <v>256774.5737</v>
      </c>
    </row>
    <row r="708" ht="14.25" customHeight="1">
      <c r="A708" s="1">
        <v>202412.0</v>
      </c>
      <c r="B708" s="1" t="s">
        <v>64</v>
      </c>
      <c r="C708" s="1" t="s">
        <v>65</v>
      </c>
      <c r="D708" s="1" t="s">
        <v>34</v>
      </c>
      <c r="E708" s="1">
        <v>1867.0</v>
      </c>
      <c r="F708" s="1">
        <v>41151.78184</v>
      </c>
    </row>
    <row r="709" ht="14.25" customHeight="1">
      <c r="A709" s="1">
        <v>202412.0</v>
      </c>
      <c r="B709" s="1" t="s">
        <v>64</v>
      </c>
      <c r="C709" s="1" t="s">
        <v>66</v>
      </c>
      <c r="D709" s="1" t="s">
        <v>9</v>
      </c>
      <c r="E709" s="1">
        <v>106.0</v>
      </c>
      <c r="F709" s="1">
        <v>1627.61722</v>
      </c>
    </row>
    <row r="710" ht="14.25" customHeight="1">
      <c r="A710" s="1">
        <v>202412.0</v>
      </c>
      <c r="B710" s="1" t="s">
        <v>64</v>
      </c>
      <c r="C710" s="1" t="s">
        <v>66</v>
      </c>
      <c r="D710" s="1" t="s">
        <v>10</v>
      </c>
      <c r="E710" s="1">
        <v>74164.0</v>
      </c>
      <c r="F710" s="1">
        <v>71640.31086</v>
      </c>
    </row>
    <row r="711" ht="14.25" customHeight="1">
      <c r="A711" s="1">
        <v>202412.0</v>
      </c>
      <c r="B711" s="1" t="s">
        <v>64</v>
      </c>
      <c r="C711" s="1" t="s">
        <v>66</v>
      </c>
      <c r="D711" s="1" t="s">
        <v>11</v>
      </c>
      <c r="E711" s="1">
        <v>54809.0</v>
      </c>
      <c r="F711" s="1">
        <v>36679.43375</v>
      </c>
    </row>
    <row r="712" ht="14.25" customHeight="1">
      <c r="A712" s="1">
        <v>202412.0</v>
      </c>
      <c r="B712" s="1" t="s">
        <v>64</v>
      </c>
      <c r="C712" s="1" t="s">
        <v>66</v>
      </c>
      <c r="D712" s="1" t="s">
        <v>12</v>
      </c>
      <c r="E712" s="1">
        <v>228.0</v>
      </c>
      <c r="F712" s="1">
        <v>2755.93437</v>
      </c>
    </row>
    <row r="713" ht="14.25" customHeight="1">
      <c r="A713" s="1">
        <v>202412.0</v>
      </c>
      <c r="B713" s="1" t="s">
        <v>64</v>
      </c>
      <c r="C713" s="1" t="s">
        <v>66</v>
      </c>
      <c r="D713" s="1" t="s">
        <v>13</v>
      </c>
      <c r="E713" s="1">
        <v>1076.0</v>
      </c>
      <c r="F713" s="1">
        <v>13454.3101</v>
      </c>
    </row>
    <row r="714" ht="14.25" customHeight="1">
      <c r="A714" s="1">
        <v>202412.0</v>
      </c>
      <c r="B714" s="1" t="s">
        <v>64</v>
      </c>
      <c r="C714" s="1" t="s">
        <v>66</v>
      </c>
      <c r="D714" s="1" t="s">
        <v>14</v>
      </c>
      <c r="E714" s="1">
        <v>1194.0</v>
      </c>
      <c r="F714" s="1">
        <v>12670.21842</v>
      </c>
    </row>
    <row r="715" ht="14.25" customHeight="1">
      <c r="A715" s="1">
        <v>202412.0</v>
      </c>
      <c r="B715" s="1" t="s">
        <v>64</v>
      </c>
      <c r="C715" s="1" t="s">
        <v>66</v>
      </c>
      <c r="D715" s="1" t="s">
        <v>15</v>
      </c>
      <c r="E715" s="1">
        <v>37.0</v>
      </c>
      <c r="F715" s="1">
        <v>6748.0488</v>
      </c>
    </row>
    <row r="716" ht="14.25" customHeight="1">
      <c r="A716" s="1">
        <v>202412.0</v>
      </c>
      <c r="B716" s="1" t="s">
        <v>64</v>
      </c>
      <c r="C716" s="1" t="s">
        <v>66</v>
      </c>
      <c r="D716" s="1" t="s">
        <v>16</v>
      </c>
      <c r="E716" s="1">
        <v>27590.0</v>
      </c>
      <c r="F716" s="1">
        <v>75099.4674</v>
      </c>
    </row>
    <row r="717" ht="14.25" customHeight="1">
      <c r="A717" s="1">
        <v>202412.0</v>
      </c>
      <c r="B717" s="1" t="s">
        <v>64</v>
      </c>
      <c r="C717" s="1" t="s">
        <v>66</v>
      </c>
      <c r="D717" s="1" t="s">
        <v>17</v>
      </c>
      <c r="E717" s="1">
        <v>9296.0</v>
      </c>
      <c r="F717" s="1">
        <v>17752.62667</v>
      </c>
    </row>
    <row r="718" ht="14.25" customHeight="1">
      <c r="A718" s="1">
        <v>202412.0</v>
      </c>
      <c r="B718" s="1" t="s">
        <v>64</v>
      </c>
      <c r="C718" s="1" t="s">
        <v>66</v>
      </c>
      <c r="D718" s="1" t="s">
        <v>18</v>
      </c>
      <c r="E718" s="1">
        <v>32905.0</v>
      </c>
      <c r="F718" s="1">
        <v>56262.24785</v>
      </c>
    </row>
    <row r="719" ht="14.25" customHeight="1">
      <c r="A719" s="1">
        <v>202412.0</v>
      </c>
      <c r="B719" s="1" t="s">
        <v>64</v>
      </c>
      <c r="C719" s="1" t="s">
        <v>66</v>
      </c>
      <c r="D719" s="1" t="s">
        <v>19</v>
      </c>
      <c r="E719" s="1">
        <v>85.0</v>
      </c>
      <c r="F719" s="1">
        <v>1764.89115</v>
      </c>
    </row>
    <row r="720" ht="14.25" customHeight="1">
      <c r="A720" s="1">
        <v>202412.0</v>
      </c>
      <c r="B720" s="1" t="s">
        <v>64</v>
      </c>
      <c r="C720" s="1" t="s">
        <v>66</v>
      </c>
      <c r="D720" s="1" t="s">
        <v>20</v>
      </c>
      <c r="E720" s="1">
        <v>369.0</v>
      </c>
      <c r="F720" s="1">
        <v>2946.82529</v>
      </c>
    </row>
    <row r="721" ht="14.25" customHeight="1">
      <c r="A721" s="1">
        <v>202412.0</v>
      </c>
      <c r="B721" s="1" t="s">
        <v>64</v>
      </c>
      <c r="C721" s="1" t="s">
        <v>66</v>
      </c>
      <c r="D721" s="1" t="s">
        <v>37</v>
      </c>
      <c r="E721" s="1">
        <v>1.0</v>
      </c>
      <c r="F721" s="1">
        <v>1726.2724</v>
      </c>
    </row>
    <row r="722" ht="14.25" customHeight="1">
      <c r="A722" s="1">
        <v>202412.0</v>
      </c>
      <c r="B722" s="1" t="s">
        <v>64</v>
      </c>
      <c r="C722" s="1" t="s">
        <v>66</v>
      </c>
      <c r="D722" s="1" t="s">
        <v>21</v>
      </c>
      <c r="E722" s="1">
        <v>362.0</v>
      </c>
      <c r="F722" s="1">
        <v>9025.7888</v>
      </c>
    </row>
    <row r="723" ht="14.25" customHeight="1">
      <c r="A723" s="1">
        <v>202412.0</v>
      </c>
      <c r="B723" s="1" t="s">
        <v>64</v>
      </c>
      <c r="C723" s="1" t="s">
        <v>66</v>
      </c>
      <c r="D723" s="1" t="s">
        <v>22</v>
      </c>
      <c r="E723" s="1">
        <v>2.0</v>
      </c>
      <c r="F723" s="1">
        <v>224.7448</v>
      </c>
    </row>
    <row r="724" ht="14.25" customHeight="1">
      <c r="A724" s="1">
        <v>202412.0</v>
      </c>
      <c r="B724" s="1" t="s">
        <v>64</v>
      </c>
      <c r="C724" s="1" t="s">
        <v>66</v>
      </c>
      <c r="D724" s="1" t="s">
        <v>23</v>
      </c>
      <c r="E724" s="1">
        <v>77940.0</v>
      </c>
      <c r="F724" s="1">
        <v>67639.8886</v>
      </c>
    </row>
    <row r="725" ht="14.25" customHeight="1">
      <c r="A725" s="1">
        <v>202412.0</v>
      </c>
      <c r="B725" s="1" t="s">
        <v>64</v>
      </c>
      <c r="C725" s="1" t="s">
        <v>66</v>
      </c>
      <c r="D725" s="1" t="s">
        <v>24</v>
      </c>
      <c r="E725" s="1">
        <v>36.0</v>
      </c>
      <c r="F725" s="1">
        <v>538.98952</v>
      </c>
    </row>
    <row r="726" ht="14.25" customHeight="1">
      <c r="A726" s="1">
        <v>202412.0</v>
      </c>
      <c r="B726" s="1" t="s">
        <v>64</v>
      </c>
      <c r="C726" s="1" t="s">
        <v>66</v>
      </c>
      <c r="D726" s="1" t="s">
        <v>25</v>
      </c>
      <c r="E726" s="1">
        <v>7222.0</v>
      </c>
      <c r="F726" s="1">
        <v>24860.33602</v>
      </c>
    </row>
    <row r="727" ht="14.25" customHeight="1">
      <c r="A727" s="1">
        <v>202412.0</v>
      </c>
      <c r="B727" s="1" t="s">
        <v>64</v>
      </c>
      <c r="C727" s="1" t="s">
        <v>66</v>
      </c>
      <c r="D727" s="1" t="s">
        <v>26</v>
      </c>
      <c r="E727" s="1">
        <v>6450.0</v>
      </c>
      <c r="F727" s="1">
        <v>11820.19856</v>
      </c>
    </row>
    <row r="728" ht="14.25" customHeight="1">
      <c r="A728" s="1">
        <v>202412.0</v>
      </c>
      <c r="B728" s="1" t="s">
        <v>64</v>
      </c>
      <c r="C728" s="1" t="s">
        <v>66</v>
      </c>
      <c r="D728" s="1" t="s">
        <v>27</v>
      </c>
      <c r="E728" s="1">
        <v>12.0</v>
      </c>
      <c r="F728" s="1">
        <v>1249.2488</v>
      </c>
    </row>
    <row r="729" ht="14.25" customHeight="1">
      <c r="A729" s="1">
        <v>202412.0</v>
      </c>
      <c r="B729" s="1" t="s">
        <v>64</v>
      </c>
      <c r="C729" s="1" t="s">
        <v>66</v>
      </c>
      <c r="D729" s="1" t="s">
        <v>28</v>
      </c>
      <c r="E729" s="1">
        <v>88.0</v>
      </c>
      <c r="F729" s="1">
        <v>1073.10151</v>
      </c>
    </row>
    <row r="730" ht="14.25" customHeight="1">
      <c r="A730" s="1">
        <v>202412.0</v>
      </c>
      <c r="B730" s="1" t="s">
        <v>64</v>
      </c>
      <c r="C730" s="1" t="s">
        <v>66</v>
      </c>
      <c r="D730" s="1" t="s">
        <v>29</v>
      </c>
      <c r="E730" s="1">
        <v>126533.0</v>
      </c>
      <c r="F730" s="1">
        <v>186946.4963</v>
      </c>
    </row>
    <row r="731" ht="14.25" customHeight="1">
      <c r="A731" s="1">
        <v>202412.0</v>
      </c>
      <c r="B731" s="1" t="s">
        <v>64</v>
      </c>
      <c r="C731" s="1" t="s">
        <v>66</v>
      </c>
      <c r="D731" s="1" t="s">
        <v>30</v>
      </c>
      <c r="E731" s="1">
        <v>7.0</v>
      </c>
      <c r="F731" s="1">
        <v>8730.0868</v>
      </c>
    </row>
    <row r="732" ht="14.25" customHeight="1">
      <c r="A732" s="1">
        <v>202412.0</v>
      </c>
      <c r="B732" s="1" t="s">
        <v>64</v>
      </c>
      <c r="C732" s="1" t="s">
        <v>66</v>
      </c>
      <c r="D732" s="1" t="s">
        <v>31</v>
      </c>
      <c r="E732" s="1">
        <v>8578.0</v>
      </c>
      <c r="F732" s="1">
        <v>29854.2831</v>
      </c>
    </row>
    <row r="733" ht="14.25" customHeight="1">
      <c r="A733" s="1">
        <v>202412.0</v>
      </c>
      <c r="B733" s="1" t="s">
        <v>64</v>
      </c>
      <c r="C733" s="1" t="s">
        <v>66</v>
      </c>
      <c r="D733" s="1" t="s">
        <v>32</v>
      </c>
      <c r="E733" s="1">
        <v>33.0</v>
      </c>
      <c r="F733" s="1">
        <v>8732.8692</v>
      </c>
    </row>
    <row r="734" ht="14.25" customHeight="1">
      <c r="A734" s="1">
        <v>202412.0</v>
      </c>
      <c r="B734" s="1" t="s">
        <v>64</v>
      </c>
      <c r="C734" s="1" t="s">
        <v>66</v>
      </c>
      <c r="D734" s="1" t="s">
        <v>33</v>
      </c>
      <c r="E734" s="1">
        <v>32707.0</v>
      </c>
      <c r="F734" s="1">
        <v>215713.7076</v>
      </c>
    </row>
    <row r="735" ht="14.25" customHeight="1">
      <c r="A735" s="1">
        <v>202412.0</v>
      </c>
      <c r="B735" s="1" t="s">
        <v>64</v>
      </c>
      <c r="C735" s="1" t="s">
        <v>66</v>
      </c>
      <c r="D735" s="1" t="s">
        <v>34</v>
      </c>
      <c r="E735" s="1">
        <v>1558.0</v>
      </c>
      <c r="F735" s="1">
        <v>32310.73517</v>
      </c>
    </row>
    <row r="736" ht="14.25" customHeight="1">
      <c r="A736" s="1">
        <v>202412.0</v>
      </c>
      <c r="B736" s="1" t="s">
        <v>64</v>
      </c>
      <c r="C736" s="1" t="s">
        <v>67</v>
      </c>
      <c r="D736" s="1" t="s">
        <v>9</v>
      </c>
      <c r="E736" s="1">
        <v>15.0</v>
      </c>
      <c r="F736" s="1">
        <v>198.40992</v>
      </c>
    </row>
    <row r="737" ht="14.25" customHeight="1">
      <c r="A737" s="1">
        <v>202412.0</v>
      </c>
      <c r="B737" s="1" t="s">
        <v>64</v>
      </c>
      <c r="C737" s="1" t="s">
        <v>67</v>
      </c>
      <c r="D737" s="1" t="s">
        <v>10</v>
      </c>
      <c r="E737" s="1">
        <v>50559.0</v>
      </c>
      <c r="F737" s="1">
        <v>47936.58192</v>
      </c>
    </row>
    <row r="738" ht="14.25" customHeight="1">
      <c r="A738" s="1">
        <v>202412.0</v>
      </c>
      <c r="B738" s="1" t="s">
        <v>64</v>
      </c>
      <c r="C738" s="1" t="s">
        <v>67</v>
      </c>
      <c r="D738" s="1" t="s">
        <v>11</v>
      </c>
      <c r="E738" s="1">
        <v>41916.0</v>
      </c>
      <c r="F738" s="1">
        <v>27559.90709</v>
      </c>
    </row>
    <row r="739" ht="14.25" customHeight="1">
      <c r="A739" s="1">
        <v>202412.0</v>
      </c>
      <c r="B739" s="1" t="s">
        <v>64</v>
      </c>
      <c r="C739" s="1" t="s">
        <v>67</v>
      </c>
      <c r="D739" s="1" t="s">
        <v>12</v>
      </c>
      <c r="E739" s="1">
        <v>198.0</v>
      </c>
      <c r="F739" s="1">
        <v>2323.66761</v>
      </c>
    </row>
    <row r="740" ht="14.25" customHeight="1">
      <c r="A740" s="1">
        <v>202412.0</v>
      </c>
      <c r="B740" s="1" t="s">
        <v>64</v>
      </c>
      <c r="C740" s="1" t="s">
        <v>67</v>
      </c>
      <c r="D740" s="1" t="s">
        <v>13</v>
      </c>
      <c r="E740" s="1">
        <v>694.0</v>
      </c>
      <c r="F740" s="1">
        <v>8289.20796</v>
      </c>
    </row>
    <row r="741" ht="14.25" customHeight="1">
      <c r="A741" s="1">
        <v>202412.0</v>
      </c>
      <c r="B741" s="1" t="s">
        <v>64</v>
      </c>
      <c r="C741" s="1" t="s">
        <v>67</v>
      </c>
      <c r="D741" s="1" t="s">
        <v>14</v>
      </c>
      <c r="E741" s="1">
        <v>963.0</v>
      </c>
      <c r="F741" s="1">
        <v>9967.15349</v>
      </c>
    </row>
    <row r="742" ht="14.25" customHeight="1">
      <c r="A742" s="1">
        <v>202412.0</v>
      </c>
      <c r="B742" s="1" t="s">
        <v>64</v>
      </c>
      <c r="C742" s="1" t="s">
        <v>67</v>
      </c>
      <c r="D742" s="1" t="s">
        <v>15</v>
      </c>
      <c r="E742" s="1">
        <v>59.0</v>
      </c>
      <c r="F742" s="1">
        <v>7488.83252</v>
      </c>
    </row>
    <row r="743" ht="14.25" customHeight="1">
      <c r="A743" s="1">
        <v>202412.0</v>
      </c>
      <c r="B743" s="1" t="s">
        <v>64</v>
      </c>
      <c r="C743" s="1" t="s">
        <v>67</v>
      </c>
      <c r="D743" s="1" t="s">
        <v>16</v>
      </c>
      <c r="E743" s="1">
        <v>11735.0</v>
      </c>
      <c r="F743" s="1">
        <v>33222.22009</v>
      </c>
    </row>
    <row r="744" ht="14.25" customHeight="1">
      <c r="A744" s="1">
        <v>202412.0</v>
      </c>
      <c r="B744" s="1" t="s">
        <v>64</v>
      </c>
      <c r="C744" s="1" t="s">
        <v>67</v>
      </c>
      <c r="D744" s="1" t="s">
        <v>17</v>
      </c>
      <c r="E744" s="1">
        <v>5186.0</v>
      </c>
      <c r="F744" s="1">
        <v>10253.67168</v>
      </c>
    </row>
    <row r="745" ht="14.25" customHeight="1">
      <c r="A745" s="1">
        <v>202412.0</v>
      </c>
      <c r="B745" s="1" t="s">
        <v>64</v>
      </c>
      <c r="C745" s="1" t="s">
        <v>67</v>
      </c>
      <c r="D745" s="1" t="s">
        <v>18</v>
      </c>
      <c r="E745" s="1">
        <v>23659.0</v>
      </c>
      <c r="F745" s="1">
        <v>36827.54589</v>
      </c>
    </row>
    <row r="746" ht="14.25" customHeight="1">
      <c r="A746" s="1">
        <v>202412.0</v>
      </c>
      <c r="B746" s="1" t="s">
        <v>64</v>
      </c>
      <c r="C746" s="1" t="s">
        <v>67</v>
      </c>
      <c r="D746" s="1" t="s">
        <v>19</v>
      </c>
      <c r="E746" s="1">
        <v>23.0</v>
      </c>
      <c r="F746" s="1">
        <v>494.54477</v>
      </c>
    </row>
    <row r="747" ht="14.25" customHeight="1">
      <c r="A747" s="1">
        <v>202412.0</v>
      </c>
      <c r="B747" s="1" t="s">
        <v>64</v>
      </c>
      <c r="C747" s="1" t="s">
        <v>67</v>
      </c>
      <c r="D747" s="1" t="s">
        <v>20</v>
      </c>
      <c r="E747" s="1">
        <v>215.0</v>
      </c>
      <c r="F747" s="1">
        <v>490.17381</v>
      </c>
    </row>
    <row r="748" ht="14.25" customHeight="1">
      <c r="A748" s="1">
        <v>202412.0</v>
      </c>
      <c r="B748" s="1" t="s">
        <v>64</v>
      </c>
      <c r="C748" s="1" t="s">
        <v>67</v>
      </c>
      <c r="D748" s="1" t="s">
        <v>21</v>
      </c>
      <c r="E748" s="1">
        <v>294.0</v>
      </c>
      <c r="F748" s="1">
        <v>8455.70475</v>
      </c>
    </row>
    <row r="749" ht="14.25" customHeight="1">
      <c r="A749" s="1">
        <v>202412.0</v>
      </c>
      <c r="B749" s="1" t="s">
        <v>64</v>
      </c>
      <c r="C749" s="1" t="s">
        <v>67</v>
      </c>
      <c r="D749" s="1" t="s">
        <v>22</v>
      </c>
      <c r="E749" s="1">
        <v>4.0</v>
      </c>
      <c r="F749" s="1">
        <v>256.02664</v>
      </c>
    </row>
    <row r="750" ht="14.25" customHeight="1">
      <c r="A750" s="1">
        <v>202412.0</v>
      </c>
      <c r="B750" s="1" t="s">
        <v>64</v>
      </c>
      <c r="C750" s="1" t="s">
        <v>67</v>
      </c>
      <c r="D750" s="1" t="s">
        <v>23</v>
      </c>
      <c r="E750" s="1">
        <v>44352.0</v>
      </c>
      <c r="F750" s="1">
        <v>41214.13881</v>
      </c>
    </row>
    <row r="751" ht="14.25" customHeight="1">
      <c r="A751" s="1">
        <v>202412.0</v>
      </c>
      <c r="B751" s="1" t="s">
        <v>64</v>
      </c>
      <c r="C751" s="1" t="s">
        <v>67</v>
      </c>
      <c r="D751" s="1" t="s">
        <v>24</v>
      </c>
      <c r="E751" s="1">
        <v>15.0</v>
      </c>
      <c r="F751" s="1">
        <v>235.53443</v>
      </c>
    </row>
    <row r="752" ht="14.25" customHeight="1">
      <c r="A752" s="1">
        <v>202412.0</v>
      </c>
      <c r="B752" s="1" t="s">
        <v>64</v>
      </c>
      <c r="C752" s="1" t="s">
        <v>67</v>
      </c>
      <c r="D752" s="1" t="s">
        <v>25</v>
      </c>
      <c r="E752" s="1">
        <v>2310.0</v>
      </c>
      <c r="F752" s="1">
        <v>6134.20256</v>
      </c>
    </row>
    <row r="753" ht="14.25" customHeight="1">
      <c r="A753" s="1">
        <v>202412.0</v>
      </c>
      <c r="B753" s="1" t="s">
        <v>64</v>
      </c>
      <c r="C753" s="1" t="s">
        <v>67</v>
      </c>
      <c r="D753" s="1" t="s">
        <v>26</v>
      </c>
      <c r="E753" s="1">
        <v>4602.0</v>
      </c>
      <c r="F753" s="1">
        <v>7533.14799</v>
      </c>
    </row>
    <row r="754" ht="14.25" customHeight="1">
      <c r="A754" s="1">
        <v>202412.0</v>
      </c>
      <c r="B754" s="1" t="s">
        <v>64</v>
      </c>
      <c r="C754" s="1" t="s">
        <v>67</v>
      </c>
      <c r="D754" s="1" t="s">
        <v>27</v>
      </c>
      <c r="E754" s="1">
        <v>12.0</v>
      </c>
      <c r="F754" s="1">
        <v>1129.2488</v>
      </c>
    </row>
    <row r="755" ht="14.25" customHeight="1">
      <c r="A755" s="1">
        <v>202412.0</v>
      </c>
      <c r="B755" s="1" t="s">
        <v>64</v>
      </c>
      <c r="C755" s="1" t="s">
        <v>67</v>
      </c>
      <c r="D755" s="1" t="s">
        <v>28</v>
      </c>
      <c r="E755" s="1">
        <v>82.0</v>
      </c>
      <c r="F755" s="1">
        <v>1217.6755</v>
      </c>
    </row>
    <row r="756" ht="14.25" customHeight="1">
      <c r="A756" s="1">
        <v>202412.0</v>
      </c>
      <c r="B756" s="1" t="s">
        <v>64</v>
      </c>
      <c r="C756" s="1" t="s">
        <v>67</v>
      </c>
      <c r="D756" s="1" t="s">
        <v>29</v>
      </c>
      <c r="E756" s="1">
        <v>74752.0</v>
      </c>
      <c r="F756" s="1">
        <v>106035.7133</v>
      </c>
    </row>
    <row r="757" ht="14.25" customHeight="1">
      <c r="A757" s="1">
        <v>202412.0</v>
      </c>
      <c r="B757" s="1" t="s">
        <v>64</v>
      </c>
      <c r="C757" s="1" t="s">
        <v>67</v>
      </c>
      <c r="D757" s="1" t="s">
        <v>30</v>
      </c>
      <c r="E757" s="1">
        <v>2.0</v>
      </c>
      <c r="F757" s="1">
        <v>3287.17645</v>
      </c>
    </row>
    <row r="758" ht="14.25" customHeight="1">
      <c r="A758" s="1">
        <v>202412.0</v>
      </c>
      <c r="B758" s="1" t="s">
        <v>64</v>
      </c>
      <c r="C758" s="1" t="s">
        <v>67</v>
      </c>
      <c r="D758" s="1" t="s">
        <v>31</v>
      </c>
      <c r="E758" s="1">
        <v>4436.0</v>
      </c>
      <c r="F758" s="1">
        <v>19746.46629</v>
      </c>
    </row>
    <row r="759" ht="14.25" customHeight="1">
      <c r="A759" s="1">
        <v>202412.0</v>
      </c>
      <c r="B759" s="1" t="s">
        <v>64</v>
      </c>
      <c r="C759" s="1" t="s">
        <v>67</v>
      </c>
      <c r="D759" s="1" t="s">
        <v>32</v>
      </c>
      <c r="E759" s="1">
        <v>37.0</v>
      </c>
      <c r="F759" s="1">
        <v>6290.15186</v>
      </c>
    </row>
    <row r="760" ht="14.25" customHeight="1">
      <c r="A760" s="1">
        <v>202412.0</v>
      </c>
      <c r="B760" s="1" t="s">
        <v>64</v>
      </c>
      <c r="C760" s="1" t="s">
        <v>67</v>
      </c>
      <c r="D760" s="1" t="s">
        <v>33</v>
      </c>
      <c r="E760" s="1">
        <v>15359.0</v>
      </c>
      <c r="F760" s="1">
        <v>108428.2569</v>
      </c>
    </row>
    <row r="761" ht="14.25" customHeight="1">
      <c r="A761" s="1">
        <v>202412.0</v>
      </c>
      <c r="B761" s="1" t="s">
        <v>64</v>
      </c>
      <c r="C761" s="1" t="s">
        <v>67</v>
      </c>
      <c r="D761" s="1" t="s">
        <v>34</v>
      </c>
      <c r="E761" s="1">
        <v>1879.0</v>
      </c>
      <c r="F761" s="1">
        <v>43048.68197</v>
      </c>
    </row>
    <row r="762" ht="14.25" customHeight="1">
      <c r="A762" s="1">
        <v>202412.0</v>
      </c>
      <c r="B762" s="1" t="s">
        <v>68</v>
      </c>
      <c r="C762" s="1" t="s">
        <v>69</v>
      </c>
      <c r="D762" s="1" t="s">
        <v>9</v>
      </c>
      <c r="E762" s="1">
        <v>50.0</v>
      </c>
      <c r="F762" s="1">
        <v>1138.03521</v>
      </c>
    </row>
    <row r="763" ht="14.25" customHeight="1">
      <c r="A763" s="1">
        <v>202412.0</v>
      </c>
      <c r="B763" s="1" t="s">
        <v>68</v>
      </c>
      <c r="C763" s="1" t="s">
        <v>69</v>
      </c>
      <c r="D763" s="1" t="s">
        <v>10</v>
      </c>
      <c r="E763" s="1">
        <v>30761.0</v>
      </c>
      <c r="F763" s="1">
        <v>33526.39279</v>
      </c>
    </row>
    <row r="764" ht="14.25" customHeight="1">
      <c r="A764" s="1">
        <v>202412.0</v>
      </c>
      <c r="B764" s="1" t="s">
        <v>68</v>
      </c>
      <c r="C764" s="1" t="s">
        <v>69</v>
      </c>
      <c r="D764" s="1" t="s">
        <v>11</v>
      </c>
      <c r="E764" s="1">
        <v>26625.0</v>
      </c>
      <c r="F764" s="1">
        <v>20467.68228</v>
      </c>
    </row>
    <row r="765" ht="14.25" customHeight="1">
      <c r="A765" s="1">
        <v>202412.0</v>
      </c>
      <c r="B765" s="1" t="s">
        <v>68</v>
      </c>
      <c r="C765" s="1" t="s">
        <v>69</v>
      </c>
      <c r="D765" s="1" t="s">
        <v>12</v>
      </c>
      <c r="E765" s="1">
        <v>177.0</v>
      </c>
      <c r="F765" s="1">
        <v>2392.23157</v>
      </c>
    </row>
    <row r="766" ht="14.25" customHeight="1">
      <c r="A766" s="1">
        <v>202412.0</v>
      </c>
      <c r="B766" s="1" t="s">
        <v>68</v>
      </c>
      <c r="C766" s="1" t="s">
        <v>69</v>
      </c>
      <c r="D766" s="1" t="s">
        <v>13</v>
      </c>
      <c r="E766" s="1">
        <v>466.0</v>
      </c>
      <c r="F766" s="1">
        <v>6943.26924</v>
      </c>
    </row>
    <row r="767" ht="14.25" customHeight="1">
      <c r="A767" s="1">
        <v>202412.0</v>
      </c>
      <c r="B767" s="1" t="s">
        <v>68</v>
      </c>
      <c r="C767" s="1" t="s">
        <v>69</v>
      </c>
      <c r="D767" s="1" t="s">
        <v>14</v>
      </c>
      <c r="E767" s="1">
        <v>638.0</v>
      </c>
      <c r="F767" s="1">
        <v>7264.2116</v>
      </c>
    </row>
    <row r="768" ht="14.25" customHeight="1">
      <c r="A768" s="1">
        <v>202412.0</v>
      </c>
      <c r="B768" s="1" t="s">
        <v>68</v>
      </c>
      <c r="C768" s="1" t="s">
        <v>69</v>
      </c>
      <c r="D768" s="1" t="s">
        <v>15</v>
      </c>
      <c r="E768" s="1">
        <v>52.0</v>
      </c>
      <c r="F768" s="1">
        <v>7597.8572</v>
      </c>
    </row>
    <row r="769" ht="14.25" customHeight="1">
      <c r="A769" s="1">
        <v>202412.0</v>
      </c>
      <c r="B769" s="1" t="s">
        <v>68</v>
      </c>
      <c r="C769" s="1" t="s">
        <v>69</v>
      </c>
      <c r="D769" s="1" t="s">
        <v>16</v>
      </c>
      <c r="E769" s="1">
        <v>6993.0</v>
      </c>
      <c r="F769" s="1">
        <v>24810.23049</v>
      </c>
    </row>
    <row r="770" ht="14.25" customHeight="1">
      <c r="A770" s="1">
        <v>202412.0</v>
      </c>
      <c r="B770" s="1" t="s">
        <v>68</v>
      </c>
      <c r="C770" s="1" t="s">
        <v>69</v>
      </c>
      <c r="D770" s="1" t="s">
        <v>17</v>
      </c>
      <c r="E770" s="1">
        <v>3328.0</v>
      </c>
      <c r="F770" s="1">
        <v>7629.44394</v>
      </c>
    </row>
    <row r="771" ht="14.25" customHeight="1">
      <c r="A771" s="1">
        <v>202412.0</v>
      </c>
      <c r="B771" s="1" t="s">
        <v>68</v>
      </c>
      <c r="C771" s="1" t="s">
        <v>69</v>
      </c>
      <c r="D771" s="1" t="s">
        <v>18</v>
      </c>
      <c r="E771" s="1">
        <v>16114.0</v>
      </c>
      <c r="F771" s="1">
        <v>31312.16694</v>
      </c>
    </row>
    <row r="772" ht="14.25" customHeight="1">
      <c r="A772" s="1">
        <v>202412.0</v>
      </c>
      <c r="B772" s="1" t="s">
        <v>68</v>
      </c>
      <c r="C772" s="1" t="s">
        <v>69</v>
      </c>
      <c r="D772" s="1" t="s">
        <v>19</v>
      </c>
      <c r="E772" s="1">
        <v>84.0</v>
      </c>
      <c r="F772" s="1">
        <v>1320.09267</v>
      </c>
    </row>
    <row r="773" ht="14.25" customHeight="1">
      <c r="A773" s="1">
        <v>202412.0</v>
      </c>
      <c r="B773" s="1" t="s">
        <v>68</v>
      </c>
      <c r="C773" s="1" t="s">
        <v>69</v>
      </c>
      <c r="D773" s="1" t="s">
        <v>20</v>
      </c>
      <c r="E773" s="1">
        <v>395.0</v>
      </c>
      <c r="F773" s="1">
        <v>1075.22356</v>
      </c>
    </row>
    <row r="774" ht="14.25" customHeight="1">
      <c r="A774" s="1">
        <v>202412.0</v>
      </c>
      <c r="B774" s="1" t="s">
        <v>68</v>
      </c>
      <c r="C774" s="1" t="s">
        <v>69</v>
      </c>
      <c r="D774" s="1" t="s">
        <v>37</v>
      </c>
      <c r="E774" s="1">
        <v>1.0</v>
      </c>
      <c r="F774" s="1">
        <v>143.9724</v>
      </c>
    </row>
    <row r="775" ht="14.25" customHeight="1">
      <c r="A775" s="1">
        <v>202412.0</v>
      </c>
      <c r="B775" s="1" t="s">
        <v>68</v>
      </c>
      <c r="C775" s="1" t="s">
        <v>69</v>
      </c>
      <c r="D775" s="1" t="s">
        <v>21</v>
      </c>
      <c r="E775" s="1">
        <v>244.0</v>
      </c>
      <c r="F775" s="1">
        <v>6504.93932</v>
      </c>
    </row>
    <row r="776" ht="14.25" customHeight="1">
      <c r="A776" s="1">
        <v>202412.0</v>
      </c>
      <c r="B776" s="1" t="s">
        <v>68</v>
      </c>
      <c r="C776" s="1" t="s">
        <v>69</v>
      </c>
      <c r="D776" s="1" t="s">
        <v>22</v>
      </c>
      <c r="E776" s="1">
        <v>3.0</v>
      </c>
      <c r="F776" s="1">
        <v>121.79498</v>
      </c>
    </row>
    <row r="777" ht="14.25" customHeight="1">
      <c r="A777" s="1">
        <v>202412.0</v>
      </c>
      <c r="B777" s="1" t="s">
        <v>68</v>
      </c>
      <c r="C777" s="1" t="s">
        <v>69</v>
      </c>
      <c r="D777" s="1" t="s">
        <v>23</v>
      </c>
      <c r="E777" s="1">
        <v>22620.0</v>
      </c>
      <c r="F777" s="1">
        <v>26306.9308</v>
      </c>
    </row>
    <row r="778" ht="14.25" customHeight="1">
      <c r="A778" s="1">
        <v>202412.0</v>
      </c>
      <c r="B778" s="1" t="s">
        <v>68</v>
      </c>
      <c r="C778" s="1" t="s">
        <v>69</v>
      </c>
      <c r="D778" s="1" t="s">
        <v>24</v>
      </c>
      <c r="E778" s="1">
        <v>21.0</v>
      </c>
      <c r="F778" s="1">
        <v>348.05713</v>
      </c>
    </row>
    <row r="779" ht="14.25" customHeight="1">
      <c r="A779" s="1">
        <v>202412.0</v>
      </c>
      <c r="B779" s="1" t="s">
        <v>68</v>
      </c>
      <c r="C779" s="1" t="s">
        <v>69</v>
      </c>
      <c r="D779" s="1" t="s">
        <v>25</v>
      </c>
      <c r="E779" s="1">
        <v>2272.0</v>
      </c>
      <c r="F779" s="1">
        <v>8366.77509</v>
      </c>
    </row>
    <row r="780" ht="14.25" customHeight="1">
      <c r="A780" s="1">
        <v>202412.0</v>
      </c>
      <c r="B780" s="1" t="s">
        <v>68</v>
      </c>
      <c r="C780" s="1" t="s">
        <v>69</v>
      </c>
      <c r="D780" s="1" t="s">
        <v>26</v>
      </c>
      <c r="E780" s="1">
        <v>2800.0</v>
      </c>
      <c r="F780" s="1">
        <v>5960.12316</v>
      </c>
    </row>
    <row r="781" ht="14.25" customHeight="1">
      <c r="A781" s="1">
        <v>202412.0</v>
      </c>
      <c r="B781" s="1" t="s">
        <v>68</v>
      </c>
      <c r="C781" s="1" t="s">
        <v>69</v>
      </c>
      <c r="D781" s="1" t="s">
        <v>27</v>
      </c>
      <c r="E781" s="1">
        <v>18.0</v>
      </c>
      <c r="F781" s="1">
        <v>2701.47767</v>
      </c>
    </row>
    <row r="782" ht="14.25" customHeight="1">
      <c r="A782" s="1">
        <v>202412.0</v>
      </c>
      <c r="B782" s="1" t="s">
        <v>68</v>
      </c>
      <c r="C782" s="1" t="s">
        <v>69</v>
      </c>
      <c r="D782" s="1" t="s">
        <v>28</v>
      </c>
      <c r="E782" s="1">
        <v>28.0</v>
      </c>
      <c r="F782" s="1">
        <v>579.05259</v>
      </c>
    </row>
    <row r="783" ht="14.25" customHeight="1">
      <c r="A783" s="1">
        <v>202412.0</v>
      </c>
      <c r="B783" s="1" t="s">
        <v>68</v>
      </c>
      <c r="C783" s="1" t="s">
        <v>69</v>
      </c>
      <c r="D783" s="1" t="s">
        <v>29</v>
      </c>
      <c r="E783" s="1">
        <v>53866.0</v>
      </c>
      <c r="F783" s="1">
        <v>111710.8814</v>
      </c>
    </row>
    <row r="784" ht="14.25" customHeight="1">
      <c r="A784" s="1">
        <v>202412.0</v>
      </c>
      <c r="B784" s="1" t="s">
        <v>68</v>
      </c>
      <c r="C784" s="1" t="s">
        <v>69</v>
      </c>
      <c r="D784" s="1" t="s">
        <v>30</v>
      </c>
      <c r="E784" s="1">
        <v>21.0</v>
      </c>
      <c r="F784" s="1">
        <v>35890.2604</v>
      </c>
    </row>
    <row r="785" ht="14.25" customHeight="1">
      <c r="A785" s="1">
        <v>202412.0</v>
      </c>
      <c r="B785" s="1" t="s">
        <v>68</v>
      </c>
      <c r="C785" s="1" t="s">
        <v>69</v>
      </c>
      <c r="D785" s="1" t="s">
        <v>31</v>
      </c>
      <c r="E785" s="1">
        <v>4584.0</v>
      </c>
      <c r="F785" s="1">
        <v>21626.5278</v>
      </c>
    </row>
    <row r="786" ht="14.25" customHeight="1">
      <c r="A786" s="1">
        <v>202412.0</v>
      </c>
      <c r="B786" s="1" t="s">
        <v>68</v>
      </c>
      <c r="C786" s="1" t="s">
        <v>69</v>
      </c>
      <c r="D786" s="1" t="s">
        <v>32</v>
      </c>
      <c r="E786" s="1">
        <v>21.0</v>
      </c>
      <c r="F786" s="1">
        <v>7067.2404</v>
      </c>
    </row>
    <row r="787" ht="14.25" customHeight="1">
      <c r="A787" s="1">
        <v>202412.0</v>
      </c>
      <c r="B787" s="1" t="s">
        <v>68</v>
      </c>
      <c r="C787" s="1" t="s">
        <v>69</v>
      </c>
      <c r="D787" s="1" t="s">
        <v>33</v>
      </c>
      <c r="E787" s="1">
        <v>12235.0</v>
      </c>
      <c r="F787" s="1">
        <v>98155.01124</v>
      </c>
    </row>
    <row r="788" ht="14.25" customHeight="1">
      <c r="A788" s="1">
        <v>202412.0</v>
      </c>
      <c r="B788" s="1" t="s">
        <v>68</v>
      </c>
      <c r="C788" s="1" t="s">
        <v>69</v>
      </c>
      <c r="D788" s="1" t="s">
        <v>34</v>
      </c>
      <c r="E788" s="1">
        <v>906.0</v>
      </c>
      <c r="F788" s="1">
        <v>25393.54675</v>
      </c>
    </row>
    <row r="789" ht="14.25" customHeight="1">
      <c r="A789" s="1">
        <v>202412.0</v>
      </c>
      <c r="B789" s="1" t="s">
        <v>68</v>
      </c>
      <c r="C789" s="1" t="s">
        <v>70</v>
      </c>
      <c r="D789" s="1" t="s">
        <v>9</v>
      </c>
      <c r="E789" s="1">
        <v>44.0</v>
      </c>
      <c r="F789" s="1">
        <v>833.08796</v>
      </c>
    </row>
    <row r="790" ht="14.25" customHeight="1">
      <c r="A790" s="1">
        <v>202412.0</v>
      </c>
      <c r="B790" s="1" t="s">
        <v>68</v>
      </c>
      <c r="C790" s="1" t="s">
        <v>70</v>
      </c>
      <c r="D790" s="1" t="s">
        <v>10</v>
      </c>
      <c r="E790" s="1">
        <v>11448.0</v>
      </c>
      <c r="F790" s="1">
        <v>11300.69349</v>
      </c>
    </row>
    <row r="791" ht="14.25" customHeight="1">
      <c r="A791" s="1">
        <v>202412.0</v>
      </c>
      <c r="B791" s="1" t="s">
        <v>68</v>
      </c>
      <c r="C791" s="1" t="s">
        <v>70</v>
      </c>
      <c r="D791" s="1" t="s">
        <v>11</v>
      </c>
      <c r="E791" s="1">
        <v>10437.0</v>
      </c>
      <c r="F791" s="1">
        <v>8306.35869</v>
      </c>
    </row>
    <row r="792" ht="14.25" customHeight="1">
      <c r="A792" s="1">
        <v>202412.0</v>
      </c>
      <c r="B792" s="1" t="s">
        <v>68</v>
      </c>
      <c r="C792" s="1" t="s">
        <v>70</v>
      </c>
      <c r="D792" s="1" t="s">
        <v>12</v>
      </c>
      <c r="E792" s="1">
        <v>63.0</v>
      </c>
      <c r="F792" s="1">
        <v>764.41676</v>
      </c>
    </row>
    <row r="793" ht="14.25" customHeight="1">
      <c r="A793" s="1">
        <v>202412.0</v>
      </c>
      <c r="B793" s="1" t="s">
        <v>68</v>
      </c>
      <c r="C793" s="1" t="s">
        <v>70</v>
      </c>
      <c r="D793" s="1" t="s">
        <v>13</v>
      </c>
      <c r="E793" s="1">
        <v>151.0</v>
      </c>
      <c r="F793" s="1">
        <v>2005.25841</v>
      </c>
    </row>
    <row r="794" ht="14.25" customHeight="1">
      <c r="A794" s="1">
        <v>202412.0</v>
      </c>
      <c r="B794" s="1" t="s">
        <v>68</v>
      </c>
      <c r="C794" s="1" t="s">
        <v>70</v>
      </c>
      <c r="D794" s="1" t="s">
        <v>14</v>
      </c>
      <c r="E794" s="1">
        <v>196.0</v>
      </c>
      <c r="F794" s="1">
        <v>2645.04288</v>
      </c>
    </row>
    <row r="795" ht="14.25" customHeight="1">
      <c r="A795" s="1">
        <v>202412.0</v>
      </c>
      <c r="B795" s="1" t="s">
        <v>68</v>
      </c>
      <c r="C795" s="1" t="s">
        <v>70</v>
      </c>
      <c r="D795" s="1" t="s">
        <v>15</v>
      </c>
      <c r="E795" s="1">
        <v>9.0</v>
      </c>
      <c r="F795" s="1">
        <v>1626.79503</v>
      </c>
    </row>
    <row r="796" ht="14.25" customHeight="1">
      <c r="A796" s="1">
        <v>202412.0</v>
      </c>
      <c r="B796" s="1" t="s">
        <v>68</v>
      </c>
      <c r="C796" s="1" t="s">
        <v>70</v>
      </c>
      <c r="D796" s="1" t="s">
        <v>16</v>
      </c>
      <c r="E796" s="1">
        <v>3083.0</v>
      </c>
      <c r="F796" s="1">
        <v>9620.48778</v>
      </c>
    </row>
    <row r="797" ht="14.25" customHeight="1">
      <c r="A797" s="1">
        <v>202412.0</v>
      </c>
      <c r="B797" s="1" t="s">
        <v>68</v>
      </c>
      <c r="C797" s="1" t="s">
        <v>70</v>
      </c>
      <c r="D797" s="1" t="s">
        <v>17</v>
      </c>
      <c r="E797" s="1">
        <v>1984.0</v>
      </c>
      <c r="F797" s="1">
        <v>4804.12678</v>
      </c>
    </row>
    <row r="798" ht="14.25" customHeight="1">
      <c r="A798" s="1">
        <v>202412.0</v>
      </c>
      <c r="B798" s="1" t="s">
        <v>68</v>
      </c>
      <c r="C798" s="1" t="s">
        <v>70</v>
      </c>
      <c r="D798" s="1" t="s">
        <v>18</v>
      </c>
      <c r="E798" s="1">
        <v>5195.0</v>
      </c>
      <c r="F798" s="1">
        <v>9870.7727</v>
      </c>
    </row>
    <row r="799" ht="14.25" customHeight="1">
      <c r="A799" s="1">
        <v>202412.0</v>
      </c>
      <c r="B799" s="1" t="s">
        <v>68</v>
      </c>
      <c r="C799" s="1" t="s">
        <v>70</v>
      </c>
      <c r="D799" s="1" t="s">
        <v>19</v>
      </c>
      <c r="E799" s="1">
        <v>19.0</v>
      </c>
      <c r="F799" s="1">
        <v>486.95574</v>
      </c>
    </row>
    <row r="800" ht="14.25" customHeight="1">
      <c r="A800" s="1">
        <v>202412.0</v>
      </c>
      <c r="B800" s="1" t="s">
        <v>68</v>
      </c>
      <c r="C800" s="1" t="s">
        <v>70</v>
      </c>
      <c r="D800" s="1" t="s">
        <v>20</v>
      </c>
      <c r="E800" s="1">
        <v>102.0</v>
      </c>
      <c r="F800" s="1">
        <v>233.46648</v>
      </c>
    </row>
    <row r="801" ht="14.25" customHeight="1">
      <c r="A801" s="1">
        <v>202412.0</v>
      </c>
      <c r="B801" s="1" t="s">
        <v>68</v>
      </c>
      <c r="C801" s="1" t="s">
        <v>70</v>
      </c>
      <c r="D801" s="1" t="s">
        <v>37</v>
      </c>
      <c r="E801" s="1">
        <v>3.0</v>
      </c>
      <c r="F801" s="1">
        <v>1536.3072</v>
      </c>
    </row>
    <row r="802" ht="14.25" customHeight="1">
      <c r="A802" s="1">
        <v>202412.0</v>
      </c>
      <c r="B802" s="1" t="s">
        <v>68</v>
      </c>
      <c r="C802" s="1" t="s">
        <v>70</v>
      </c>
      <c r="D802" s="1" t="s">
        <v>21</v>
      </c>
      <c r="E802" s="1">
        <v>54.0</v>
      </c>
      <c r="F802" s="1">
        <v>2046.2896</v>
      </c>
    </row>
    <row r="803" ht="14.25" customHeight="1">
      <c r="A803" s="1">
        <v>202412.0</v>
      </c>
      <c r="B803" s="1" t="s">
        <v>68</v>
      </c>
      <c r="C803" s="1" t="s">
        <v>70</v>
      </c>
      <c r="D803" s="1" t="s">
        <v>23</v>
      </c>
      <c r="E803" s="1">
        <v>10025.0</v>
      </c>
      <c r="F803" s="1">
        <v>11177.90102</v>
      </c>
    </row>
    <row r="804" ht="14.25" customHeight="1">
      <c r="A804" s="1">
        <v>202412.0</v>
      </c>
      <c r="B804" s="1" t="s">
        <v>68</v>
      </c>
      <c r="C804" s="1" t="s">
        <v>70</v>
      </c>
      <c r="D804" s="1" t="s">
        <v>24</v>
      </c>
      <c r="E804" s="1">
        <v>7.0</v>
      </c>
      <c r="F804" s="1">
        <v>210.04449</v>
      </c>
    </row>
    <row r="805" ht="14.25" customHeight="1">
      <c r="A805" s="1">
        <v>202412.0</v>
      </c>
      <c r="B805" s="1" t="s">
        <v>68</v>
      </c>
      <c r="C805" s="1" t="s">
        <v>70</v>
      </c>
      <c r="D805" s="1" t="s">
        <v>25</v>
      </c>
      <c r="E805" s="1">
        <v>773.0</v>
      </c>
      <c r="F805" s="1">
        <v>2919.79389</v>
      </c>
    </row>
    <row r="806" ht="14.25" customHeight="1">
      <c r="A806" s="1">
        <v>202412.0</v>
      </c>
      <c r="B806" s="1" t="s">
        <v>68</v>
      </c>
      <c r="C806" s="1" t="s">
        <v>70</v>
      </c>
      <c r="D806" s="1" t="s">
        <v>26</v>
      </c>
      <c r="E806" s="1">
        <v>979.0</v>
      </c>
      <c r="F806" s="1">
        <v>2139.86685</v>
      </c>
    </row>
    <row r="807" ht="14.25" customHeight="1">
      <c r="A807" s="1">
        <v>202412.0</v>
      </c>
      <c r="B807" s="1" t="s">
        <v>68</v>
      </c>
      <c r="C807" s="1" t="s">
        <v>70</v>
      </c>
      <c r="D807" s="1" t="s">
        <v>27</v>
      </c>
      <c r="E807" s="1">
        <v>7.0</v>
      </c>
      <c r="F807" s="1">
        <v>1070.9868</v>
      </c>
    </row>
    <row r="808" ht="14.25" customHeight="1">
      <c r="A808" s="1">
        <v>202412.0</v>
      </c>
      <c r="B808" s="1" t="s">
        <v>68</v>
      </c>
      <c r="C808" s="1" t="s">
        <v>70</v>
      </c>
      <c r="D808" s="1" t="s">
        <v>28</v>
      </c>
      <c r="E808" s="1">
        <v>15.0</v>
      </c>
      <c r="F808" s="1">
        <v>173.7621</v>
      </c>
    </row>
    <row r="809" ht="14.25" customHeight="1">
      <c r="A809" s="1">
        <v>202412.0</v>
      </c>
      <c r="B809" s="1" t="s">
        <v>68</v>
      </c>
      <c r="C809" s="1" t="s">
        <v>70</v>
      </c>
      <c r="D809" s="1" t="s">
        <v>29</v>
      </c>
      <c r="E809" s="1">
        <v>19701.0</v>
      </c>
      <c r="F809" s="1">
        <v>36158.42498</v>
      </c>
    </row>
    <row r="810" ht="14.25" customHeight="1">
      <c r="A810" s="1">
        <v>202412.0</v>
      </c>
      <c r="B810" s="1" t="s">
        <v>68</v>
      </c>
      <c r="C810" s="1" t="s">
        <v>70</v>
      </c>
      <c r="D810" s="1" t="s">
        <v>30</v>
      </c>
      <c r="E810" s="1">
        <v>7.0</v>
      </c>
      <c r="F810" s="1">
        <v>12610.0868</v>
      </c>
    </row>
    <row r="811" ht="14.25" customHeight="1">
      <c r="A811" s="1">
        <v>202412.0</v>
      </c>
      <c r="B811" s="1" t="s">
        <v>68</v>
      </c>
      <c r="C811" s="1" t="s">
        <v>70</v>
      </c>
      <c r="D811" s="1" t="s">
        <v>31</v>
      </c>
      <c r="E811" s="1">
        <v>1074.0</v>
      </c>
      <c r="F811" s="1">
        <v>3069.48977</v>
      </c>
    </row>
    <row r="812" ht="14.25" customHeight="1">
      <c r="A812" s="1">
        <v>202412.0</v>
      </c>
      <c r="B812" s="1" t="s">
        <v>68</v>
      </c>
      <c r="C812" s="1" t="s">
        <v>70</v>
      </c>
      <c r="D812" s="1" t="s">
        <v>32</v>
      </c>
      <c r="E812" s="1">
        <v>12.0</v>
      </c>
      <c r="F812" s="1">
        <v>5077.0188</v>
      </c>
    </row>
    <row r="813" ht="14.25" customHeight="1">
      <c r="A813" s="1">
        <v>202412.0</v>
      </c>
      <c r="B813" s="1" t="s">
        <v>68</v>
      </c>
      <c r="C813" s="1" t="s">
        <v>70</v>
      </c>
      <c r="D813" s="1" t="s">
        <v>33</v>
      </c>
      <c r="E813" s="1">
        <v>4903.0</v>
      </c>
      <c r="F813" s="1">
        <v>48899.05318</v>
      </c>
    </row>
    <row r="814" ht="14.25" customHeight="1">
      <c r="A814" s="1">
        <v>202412.0</v>
      </c>
      <c r="B814" s="1" t="s">
        <v>68</v>
      </c>
      <c r="C814" s="1" t="s">
        <v>70</v>
      </c>
      <c r="D814" s="1" t="s">
        <v>34</v>
      </c>
      <c r="E814" s="1">
        <v>658.0</v>
      </c>
      <c r="F814" s="1">
        <v>18583.61466</v>
      </c>
    </row>
    <row r="815" ht="14.25" customHeight="1">
      <c r="A815" s="1">
        <v>202412.0</v>
      </c>
      <c r="B815" s="1" t="s">
        <v>68</v>
      </c>
      <c r="C815" s="1" t="s">
        <v>71</v>
      </c>
      <c r="D815" s="1" t="s">
        <v>9</v>
      </c>
      <c r="E815" s="1">
        <v>172.0</v>
      </c>
      <c r="F815" s="1">
        <v>2593.25041</v>
      </c>
    </row>
    <row r="816" ht="14.25" customHeight="1">
      <c r="A816" s="1">
        <v>202412.0</v>
      </c>
      <c r="B816" s="1" t="s">
        <v>68</v>
      </c>
      <c r="C816" s="1" t="s">
        <v>71</v>
      </c>
      <c r="D816" s="1" t="s">
        <v>10</v>
      </c>
      <c r="E816" s="1">
        <v>43900.0</v>
      </c>
      <c r="F816" s="1">
        <v>52033.36308</v>
      </c>
    </row>
    <row r="817" ht="14.25" customHeight="1">
      <c r="A817" s="1">
        <v>202412.0</v>
      </c>
      <c r="B817" s="1" t="s">
        <v>68</v>
      </c>
      <c r="C817" s="1" t="s">
        <v>71</v>
      </c>
      <c r="D817" s="1" t="s">
        <v>11</v>
      </c>
      <c r="E817" s="1">
        <v>31438.0</v>
      </c>
      <c r="F817" s="1">
        <v>26221.73903</v>
      </c>
    </row>
    <row r="818" ht="14.25" customHeight="1">
      <c r="A818" s="1">
        <v>202412.0</v>
      </c>
      <c r="B818" s="1" t="s">
        <v>68</v>
      </c>
      <c r="C818" s="1" t="s">
        <v>71</v>
      </c>
      <c r="D818" s="1" t="s">
        <v>12</v>
      </c>
      <c r="E818" s="1">
        <v>253.0</v>
      </c>
      <c r="F818" s="1">
        <v>3096.84984</v>
      </c>
    </row>
    <row r="819" ht="14.25" customHeight="1">
      <c r="A819" s="1">
        <v>202412.0</v>
      </c>
      <c r="B819" s="1" t="s">
        <v>68</v>
      </c>
      <c r="C819" s="1" t="s">
        <v>71</v>
      </c>
      <c r="D819" s="1" t="s">
        <v>13</v>
      </c>
      <c r="E819" s="1">
        <v>623.0</v>
      </c>
      <c r="F819" s="1">
        <v>9306.88048</v>
      </c>
    </row>
    <row r="820" ht="14.25" customHeight="1">
      <c r="A820" s="1">
        <v>202412.0</v>
      </c>
      <c r="B820" s="1" t="s">
        <v>68</v>
      </c>
      <c r="C820" s="1" t="s">
        <v>71</v>
      </c>
      <c r="D820" s="1" t="s">
        <v>14</v>
      </c>
      <c r="E820" s="1">
        <v>520.0</v>
      </c>
      <c r="F820" s="1">
        <v>6788.87191</v>
      </c>
    </row>
    <row r="821" ht="14.25" customHeight="1">
      <c r="A821" s="1">
        <v>202412.0</v>
      </c>
      <c r="B821" s="1" t="s">
        <v>68</v>
      </c>
      <c r="C821" s="1" t="s">
        <v>71</v>
      </c>
      <c r="D821" s="1" t="s">
        <v>15</v>
      </c>
      <c r="E821" s="1">
        <v>30.0</v>
      </c>
      <c r="F821" s="1">
        <v>4627.52252</v>
      </c>
    </row>
    <row r="822" ht="14.25" customHeight="1">
      <c r="A822" s="1">
        <v>202412.0</v>
      </c>
      <c r="B822" s="1" t="s">
        <v>68</v>
      </c>
      <c r="C822" s="1" t="s">
        <v>71</v>
      </c>
      <c r="D822" s="1" t="s">
        <v>16</v>
      </c>
      <c r="E822" s="1">
        <v>9213.0</v>
      </c>
      <c r="F822" s="1">
        <v>29381.37003</v>
      </c>
    </row>
    <row r="823" ht="14.25" customHeight="1">
      <c r="A823" s="1">
        <v>202412.0</v>
      </c>
      <c r="B823" s="1" t="s">
        <v>68</v>
      </c>
      <c r="C823" s="1" t="s">
        <v>71</v>
      </c>
      <c r="D823" s="1" t="s">
        <v>17</v>
      </c>
      <c r="E823" s="1">
        <v>7875.0</v>
      </c>
      <c r="F823" s="1">
        <v>18079.39627</v>
      </c>
    </row>
    <row r="824" ht="14.25" customHeight="1">
      <c r="A824" s="1">
        <v>202412.0</v>
      </c>
      <c r="B824" s="1" t="s">
        <v>68</v>
      </c>
      <c r="C824" s="1" t="s">
        <v>71</v>
      </c>
      <c r="D824" s="1" t="s">
        <v>18</v>
      </c>
      <c r="E824" s="1">
        <v>18128.0</v>
      </c>
      <c r="F824" s="1">
        <v>34237.42745</v>
      </c>
    </row>
    <row r="825" ht="14.25" customHeight="1">
      <c r="A825" s="1">
        <v>202412.0</v>
      </c>
      <c r="B825" s="1" t="s">
        <v>68</v>
      </c>
      <c r="C825" s="1" t="s">
        <v>71</v>
      </c>
      <c r="D825" s="1" t="s">
        <v>19</v>
      </c>
      <c r="E825" s="1">
        <v>22.0</v>
      </c>
      <c r="F825" s="1">
        <v>452.09582</v>
      </c>
    </row>
    <row r="826" ht="14.25" customHeight="1">
      <c r="A826" s="1">
        <v>202412.0</v>
      </c>
      <c r="B826" s="1" t="s">
        <v>68</v>
      </c>
      <c r="C826" s="1" t="s">
        <v>71</v>
      </c>
      <c r="D826" s="1" t="s">
        <v>20</v>
      </c>
      <c r="E826" s="1">
        <v>319.0</v>
      </c>
      <c r="F826" s="1">
        <v>1966.7379</v>
      </c>
    </row>
    <row r="827" ht="14.25" customHeight="1">
      <c r="A827" s="1">
        <v>202412.0</v>
      </c>
      <c r="B827" s="1" t="s">
        <v>68</v>
      </c>
      <c r="C827" s="1" t="s">
        <v>71</v>
      </c>
      <c r="D827" s="1" t="s">
        <v>37</v>
      </c>
      <c r="E827" s="1">
        <v>2.0</v>
      </c>
      <c r="F827" s="1">
        <v>1007.1148</v>
      </c>
    </row>
    <row r="828" ht="14.25" customHeight="1">
      <c r="A828" s="1">
        <v>202412.0</v>
      </c>
      <c r="B828" s="1" t="s">
        <v>68</v>
      </c>
      <c r="C828" s="1" t="s">
        <v>71</v>
      </c>
      <c r="D828" s="1" t="s">
        <v>21</v>
      </c>
      <c r="E828" s="1">
        <v>261.0</v>
      </c>
      <c r="F828" s="1">
        <v>7589.78087</v>
      </c>
    </row>
    <row r="829" ht="14.25" customHeight="1">
      <c r="A829" s="1">
        <v>202412.0</v>
      </c>
      <c r="B829" s="1" t="s">
        <v>68</v>
      </c>
      <c r="C829" s="1" t="s">
        <v>71</v>
      </c>
      <c r="D829" s="1" t="s">
        <v>22</v>
      </c>
      <c r="E829" s="1">
        <v>1.0</v>
      </c>
      <c r="F829" s="1">
        <v>56.1924</v>
      </c>
    </row>
    <row r="830" ht="14.25" customHeight="1">
      <c r="A830" s="1">
        <v>202412.0</v>
      </c>
      <c r="B830" s="1" t="s">
        <v>68</v>
      </c>
      <c r="C830" s="1" t="s">
        <v>71</v>
      </c>
      <c r="D830" s="1" t="s">
        <v>23</v>
      </c>
      <c r="E830" s="1">
        <v>35154.0</v>
      </c>
      <c r="F830" s="1">
        <v>40734.48388</v>
      </c>
    </row>
    <row r="831" ht="14.25" customHeight="1">
      <c r="A831" s="1">
        <v>202412.0</v>
      </c>
      <c r="B831" s="1" t="s">
        <v>68</v>
      </c>
      <c r="C831" s="1" t="s">
        <v>71</v>
      </c>
      <c r="D831" s="1" t="s">
        <v>24</v>
      </c>
      <c r="E831" s="1">
        <v>29.0</v>
      </c>
      <c r="F831" s="1">
        <v>731.03187</v>
      </c>
    </row>
    <row r="832" ht="14.25" customHeight="1">
      <c r="A832" s="1">
        <v>202412.0</v>
      </c>
      <c r="B832" s="1" t="s">
        <v>68</v>
      </c>
      <c r="C832" s="1" t="s">
        <v>71</v>
      </c>
      <c r="D832" s="1" t="s">
        <v>25</v>
      </c>
      <c r="E832" s="1">
        <v>2819.0</v>
      </c>
      <c r="F832" s="1">
        <v>13477.28904</v>
      </c>
    </row>
    <row r="833" ht="14.25" customHeight="1">
      <c r="A833" s="1">
        <v>202412.0</v>
      </c>
      <c r="B833" s="1" t="s">
        <v>68</v>
      </c>
      <c r="C833" s="1" t="s">
        <v>71</v>
      </c>
      <c r="D833" s="1" t="s">
        <v>26</v>
      </c>
      <c r="E833" s="1">
        <v>2963.0</v>
      </c>
      <c r="F833" s="1">
        <v>6637.72047</v>
      </c>
    </row>
    <row r="834" ht="14.25" customHeight="1">
      <c r="A834" s="1">
        <v>202412.0</v>
      </c>
      <c r="B834" s="1" t="s">
        <v>68</v>
      </c>
      <c r="C834" s="1" t="s">
        <v>71</v>
      </c>
      <c r="D834" s="1" t="s">
        <v>27</v>
      </c>
      <c r="E834" s="1">
        <v>16.0</v>
      </c>
      <c r="F834" s="1">
        <v>2502.3984</v>
      </c>
    </row>
    <row r="835" ht="14.25" customHeight="1">
      <c r="A835" s="1">
        <v>202412.0</v>
      </c>
      <c r="B835" s="1" t="s">
        <v>68</v>
      </c>
      <c r="C835" s="1" t="s">
        <v>71</v>
      </c>
      <c r="D835" s="1" t="s">
        <v>28</v>
      </c>
      <c r="E835" s="1">
        <v>57.0</v>
      </c>
      <c r="F835" s="1">
        <v>955.1383</v>
      </c>
    </row>
    <row r="836" ht="14.25" customHeight="1">
      <c r="A836" s="1">
        <v>202412.0</v>
      </c>
      <c r="B836" s="1" t="s">
        <v>68</v>
      </c>
      <c r="C836" s="1" t="s">
        <v>71</v>
      </c>
      <c r="D836" s="1" t="s">
        <v>29</v>
      </c>
      <c r="E836" s="1">
        <v>67561.0</v>
      </c>
      <c r="F836" s="1">
        <v>139532.159</v>
      </c>
    </row>
    <row r="837" ht="14.25" customHeight="1">
      <c r="A837" s="1">
        <v>202412.0</v>
      </c>
      <c r="B837" s="1" t="s">
        <v>68</v>
      </c>
      <c r="C837" s="1" t="s">
        <v>71</v>
      </c>
      <c r="D837" s="1" t="s">
        <v>30</v>
      </c>
      <c r="E837" s="1">
        <v>21.0</v>
      </c>
      <c r="F837" s="1">
        <v>15815.8504</v>
      </c>
    </row>
    <row r="838" ht="14.25" customHeight="1">
      <c r="A838" s="1">
        <v>202412.0</v>
      </c>
      <c r="B838" s="1" t="s">
        <v>68</v>
      </c>
      <c r="C838" s="1" t="s">
        <v>71</v>
      </c>
      <c r="D838" s="1" t="s">
        <v>31</v>
      </c>
      <c r="E838" s="1">
        <v>3982.0</v>
      </c>
      <c r="F838" s="1">
        <v>9640.6502</v>
      </c>
    </row>
    <row r="839" ht="14.25" customHeight="1">
      <c r="A839" s="1">
        <v>202412.0</v>
      </c>
      <c r="B839" s="1" t="s">
        <v>68</v>
      </c>
      <c r="C839" s="1" t="s">
        <v>71</v>
      </c>
      <c r="D839" s="1" t="s">
        <v>32</v>
      </c>
      <c r="E839" s="1">
        <v>39.0</v>
      </c>
      <c r="F839" s="1">
        <v>11048.32083</v>
      </c>
    </row>
    <row r="840" ht="14.25" customHeight="1">
      <c r="A840" s="1">
        <v>202412.0</v>
      </c>
      <c r="B840" s="1" t="s">
        <v>68</v>
      </c>
      <c r="C840" s="1" t="s">
        <v>71</v>
      </c>
      <c r="D840" s="1" t="s">
        <v>33</v>
      </c>
      <c r="E840" s="1">
        <v>19676.0</v>
      </c>
      <c r="F840" s="1">
        <v>184809.7519</v>
      </c>
    </row>
    <row r="841" ht="14.25" customHeight="1">
      <c r="A841" s="1">
        <v>202412.0</v>
      </c>
      <c r="B841" s="1" t="s">
        <v>68</v>
      </c>
      <c r="C841" s="1" t="s">
        <v>71</v>
      </c>
      <c r="D841" s="1" t="s">
        <v>34</v>
      </c>
      <c r="E841" s="1">
        <v>1751.0</v>
      </c>
      <c r="F841" s="1">
        <v>41712.23798</v>
      </c>
    </row>
    <row r="842" ht="14.25" customHeight="1">
      <c r="A842" s="1">
        <v>202412.0</v>
      </c>
      <c r="B842" s="1" t="s">
        <v>68</v>
      </c>
      <c r="C842" s="1" t="s">
        <v>72</v>
      </c>
      <c r="D842" s="1" t="s">
        <v>9</v>
      </c>
      <c r="E842" s="1">
        <v>331.0</v>
      </c>
      <c r="F842" s="1">
        <v>4829.28228</v>
      </c>
    </row>
    <row r="843" ht="14.25" customHeight="1">
      <c r="A843" s="1">
        <v>202412.0</v>
      </c>
      <c r="B843" s="1" t="s">
        <v>68</v>
      </c>
      <c r="C843" s="1" t="s">
        <v>72</v>
      </c>
      <c r="D843" s="1" t="s">
        <v>10</v>
      </c>
      <c r="E843" s="1">
        <v>38288.0</v>
      </c>
      <c r="F843" s="1">
        <v>40542.28756</v>
      </c>
    </row>
    <row r="844" ht="14.25" customHeight="1">
      <c r="A844" s="1">
        <v>202412.0</v>
      </c>
      <c r="B844" s="1" t="s">
        <v>68</v>
      </c>
      <c r="C844" s="1" t="s">
        <v>72</v>
      </c>
      <c r="D844" s="1" t="s">
        <v>11</v>
      </c>
      <c r="E844" s="1">
        <v>38651.0</v>
      </c>
      <c r="F844" s="1">
        <v>27585.05831</v>
      </c>
    </row>
    <row r="845" ht="14.25" customHeight="1">
      <c r="A845" s="1">
        <v>202412.0</v>
      </c>
      <c r="B845" s="1" t="s">
        <v>68</v>
      </c>
      <c r="C845" s="1" t="s">
        <v>72</v>
      </c>
      <c r="D845" s="1" t="s">
        <v>12</v>
      </c>
      <c r="E845" s="1">
        <v>196.0</v>
      </c>
      <c r="F845" s="1">
        <v>2856.2054</v>
      </c>
    </row>
    <row r="846" ht="14.25" customHeight="1">
      <c r="A846" s="1">
        <v>202412.0</v>
      </c>
      <c r="B846" s="1" t="s">
        <v>68</v>
      </c>
      <c r="C846" s="1" t="s">
        <v>72</v>
      </c>
      <c r="D846" s="1" t="s">
        <v>13</v>
      </c>
      <c r="E846" s="1">
        <v>530.0</v>
      </c>
      <c r="F846" s="1">
        <v>7123.02937</v>
      </c>
    </row>
    <row r="847" ht="14.25" customHeight="1">
      <c r="A847" s="1">
        <v>202412.0</v>
      </c>
      <c r="B847" s="1" t="s">
        <v>68</v>
      </c>
      <c r="C847" s="1" t="s">
        <v>72</v>
      </c>
      <c r="D847" s="1" t="s">
        <v>14</v>
      </c>
      <c r="E847" s="1">
        <v>1148.0</v>
      </c>
      <c r="F847" s="1">
        <v>13115.62498</v>
      </c>
    </row>
    <row r="848" ht="14.25" customHeight="1">
      <c r="A848" s="1">
        <v>202412.0</v>
      </c>
      <c r="B848" s="1" t="s">
        <v>68</v>
      </c>
      <c r="C848" s="1" t="s">
        <v>72</v>
      </c>
      <c r="D848" s="1" t="s">
        <v>15</v>
      </c>
      <c r="E848" s="1">
        <v>31.0</v>
      </c>
      <c r="F848" s="1">
        <v>4716.68377</v>
      </c>
    </row>
    <row r="849" ht="14.25" customHeight="1">
      <c r="A849" s="1">
        <v>202412.0</v>
      </c>
      <c r="B849" s="1" t="s">
        <v>68</v>
      </c>
      <c r="C849" s="1" t="s">
        <v>72</v>
      </c>
      <c r="D849" s="1" t="s">
        <v>16</v>
      </c>
      <c r="E849" s="1">
        <v>13809.0</v>
      </c>
      <c r="F849" s="1">
        <v>45894.02376</v>
      </c>
    </row>
    <row r="850" ht="14.25" customHeight="1">
      <c r="A850" s="1">
        <v>202412.0</v>
      </c>
      <c r="B850" s="1" t="s">
        <v>68</v>
      </c>
      <c r="C850" s="1" t="s">
        <v>72</v>
      </c>
      <c r="D850" s="1" t="s">
        <v>17</v>
      </c>
      <c r="E850" s="1">
        <v>10367.0</v>
      </c>
      <c r="F850" s="1">
        <v>21179.08659</v>
      </c>
    </row>
    <row r="851" ht="14.25" customHeight="1">
      <c r="A851" s="1">
        <v>202412.0</v>
      </c>
      <c r="B851" s="1" t="s">
        <v>68</v>
      </c>
      <c r="C851" s="1" t="s">
        <v>72</v>
      </c>
      <c r="D851" s="1" t="s">
        <v>18</v>
      </c>
      <c r="E851" s="1">
        <v>19069.0</v>
      </c>
      <c r="F851" s="1">
        <v>36439.9561</v>
      </c>
    </row>
    <row r="852" ht="14.25" customHeight="1">
      <c r="A852" s="1">
        <v>202412.0</v>
      </c>
      <c r="B852" s="1" t="s">
        <v>68</v>
      </c>
      <c r="C852" s="1" t="s">
        <v>72</v>
      </c>
      <c r="D852" s="1" t="s">
        <v>19</v>
      </c>
      <c r="E852" s="1">
        <v>25.0</v>
      </c>
      <c r="F852" s="1">
        <v>459.47246</v>
      </c>
    </row>
    <row r="853" ht="14.25" customHeight="1">
      <c r="A853" s="1">
        <v>202412.0</v>
      </c>
      <c r="B853" s="1" t="s">
        <v>68</v>
      </c>
      <c r="C853" s="1" t="s">
        <v>72</v>
      </c>
      <c r="D853" s="1" t="s">
        <v>20</v>
      </c>
      <c r="E853" s="1">
        <v>439.0</v>
      </c>
      <c r="F853" s="1">
        <v>1142.3695</v>
      </c>
    </row>
    <row r="854" ht="14.25" customHeight="1">
      <c r="A854" s="1">
        <v>202412.0</v>
      </c>
      <c r="B854" s="1" t="s">
        <v>68</v>
      </c>
      <c r="C854" s="1" t="s">
        <v>72</v>
      </c>
      <c r="D854" s="1" t="s">
        <v>37</v>
      </c>
      <c r="E854" s="1">
        <v>1.0</v>
      </c>
      <c r="F854" s="1">
        <v>513.8824</v>
      </c>
    </row>
    <row r="855" ht="14.25" customHeight="1">
      <c r="A855" s="1">
        <v>202412.0</v>
      </c>
      <c r="B855" s="1" t="s">
        <v>68</v>
      </c>
      <c r="C855" s="1" t="s">
        <v>72</v>
      </c>
      <c r="D855" s="1" t="s">
        <v>21</v>
      </c>
      <c r="E855" s="1">
        <v>212.0</v>
      </c>
      <c r="F855" s="1">
        <v>5930.70159</v>
      </c>
    </row>
    <row r="856" ht="14.25" customHeight="1">
      <c r="A856" s="1">
        <v>202412.0</v>
      </c>
      <c r="B856" s="1" t="s">
        <v>68</v>
      </c>
      <c r="C856" s="1" t="s">
        <v>72</v>
      </c>
      <c r="D856" s="1" t="s">
        <v>22</v>
      </c>
      <c r="E856" s="1">
        <v>2.0</v>
      </c>
      <c r="F856" s="1">
        <v>87.46184</v>
      </c>
    </row>
    <row r="857" ht="14.25" customHeight="1">
      <c r="A857" s="1">
        <v>202412.0</v>
      </c>
      <c r="B857" s="1" t="s">
        <v>68</v>
      </c>
      <c r="C857" s="1" t="s">
        <v>72</v>
      </c>
      <c r="D857" s="1" t="s">
        <v>23</v>
      </c>
      <c r="E857" s="1">
        <v>26738.0</v>
      </c>
      <c r="F857" s="1">
        <v>27920.27983</v>
      </c>
    </row>
    <row r="858" ht="14.25" customHeight="1">
      <c r="A858" s="1">
        <v>202412.0</v>
      </c>
      <c r="B858" s="1" t="s">
        <v>68</v>
      </c>
      <c r="C858" s="1" t="s">
        <v>72</v>
      </c>
      <c r="D858" s="1" t="s">
        <v>24</v>
      </c>
      <c r="E858" s="1">
        <v>11.0</v>
      </c>
      <c r="F858" s="1">
        <v>182.49527</v>
      </c>
    </row>
    <row r="859" ht="14.25" customHeight="1">
      <c r="A859" s="1">
        <v>202412.0</v>
      </c>
      <c r="B859" s="1" t="s">
        <v>68</v>
      </c>
      <c r="C859" s="1" t="s">
        <v>72</v>
      </c>
      <c r="D859" s="1" t="s">
        <v>25</v>
      </c>
      <c r="E859" s="1">
        <v>3750.0</v>
      </c>
      <c r="F859" s="1">
        <v>17937.44682</v>
      </c>
    </row>
    <row r="860" ht="14.25" customHeight="1">
      <c r="A860" s="1">
        <v>202412.0</v>
      </c>
      <c r="B860" s="1" t="s">
        <v>68</v>
      </c>
      <c r="C860" s="1" t="s">
        <v>72</v>
      </c>
      <c r="D860" s="1" t="s">
        <v>26</v>
      </c>
      <c r="E860" s="1">
        <v>3285.0</v>
      </c>
      <c r="F860" s="1">
        <v>6348.17856</v>
      </c>
    </row>
    <row r="861" ht="14.25" customHeight="1">
      <c r="A861" s="1">
        <v>202412.0</v>
      </c>
      <c r="B861" s="1" t="s">
        <v>68</v>
      </c>
      <c r="C861" s="1" t="s">
        <v>72</v>
      </c>
      <c r="D861" s="1" t="s">
        <v>27</v>
      </c>
      <c r="E861" s="1">
        <v>16.0</v>
      </c>
      <c r="F861" s="1">
        <v>2893.4984</v>
      </c>
    </row>
    <row r="862" ht="14.25" customHeight="1">
      <c r="A862" s="1">
        <v>202412.0</v>
      </c>
      <c r="B862" s="1" t="s">
        <v>68</v>
      </c>
      <c r="C862" s="1" t="s">
        <v>72</v>
      </c>
      <c r="D862" s="1" t="s">
        <v>28</v>
      </c>
      <c r="E862" s="1">
        <v>62.0</v>
      </c>
      <c r="F862" s="1">
        <v>939.63852</v>
      </c>
    </row>
    <row r="863" ht="14.25" customHeight="1">
      <c r="A863" s="1">
        <v>202412.0</v>
      </c>
      <c r="B863" s="1" t="s">
        <v>68</v>
      </c>
      <c r="C863" s="1" t="s">
        <v>72</v>
      </c>
      <c r="D863" s="1" t="s">
        <v>29</v>
      </c>
      <c r="E863" s="1">
        <v>60865.0</v>
      </c>
      <c r="F863" s="1">
        <v>112229.9547</v>
      </c>
    </row>
    <row r="864" ht="14.25" customHeight="1">
      <c r="A864" s="1">
        <v>202412.0</v>
      </c>
      <c r="B864" s="1" t="s">
        <v>68</v>
      </c>
      <c r="C864" s="1" t="s">
        <v>72</v>
      </c>
      <c r="D864" s="1" t="s">
        <v>30</v>
      </c>
      <c r="E864" s="1">
        <v>6.0</v>
      </c>
      <c r="F864" s="1">
        <v>5820.0744</v>
      </c>
    </row>
    <row r="865" ht="14.25" customHeight="1">
      <c r="A865" s="1">
        <v>202412.0</v>
      </c>
      <c r="B865" s="1" t="s">
        <v>68</v>
      </c>
      <c r="C865" s="1" t="s">
        <v>72</v>
      </c>
      <c r="D865" s="1" t="s">
        <v>31</v>
      </c>
      <c r="E865" s="1">
        <v>1344.0</v>
      </c>
      <c r="F865" s="1">
        <v>3807.5291</v>
      </c>
    </row>
    <row r="866" ht="14.25" customHeight="1">
      <c r="A866" s="1">
        <v>202412.0</v>
      </c>
      <c r="B866" s="1" t="s">
        <v>68</v>
      </c>
      <c r="C866" s="1" t="s">
        <v>72</v>
      </c>
      <c r="D866" s="1" t="s">
        <v>32</v>
      </c>
      <c r="E866" s="1">
        <v>68.0</v>
      </c>
      <c r="F866" s="1">
        <v>22708.21328</v>
      </c>
    </row>
    <row r="867" ht="14.25" customHeight="1">
      <c r="A867" s="1">
        <v>202412.0</v>
      </c>
      <c r="B867" s="1" t="s">
        <v>68</v>
      </c>
      <c r="C867" s="1" t="s">
        <v>72</v>
      </c>
      <c r="D867" s="1" t="s">
        <v>33</v>
      </c>
      <c r="E867" s="1">
        <v>13331.0</v>
      </c>
      <c r="F867" s="1">
        <v>87301.25689</v>
      </c>
    </row>
    <row r="868" ht="14.25" customHeight="1">
      <c r="A868" s="1">
        <v>202412.0</v>
      </c>
      <c r="B868" s="1" t="s">
        <v>68</v>
      </c>
      <c r="C868" s="1" t="s">
        <v>72</v>
      </c>
      <c r="D868" s="1" t="s">
        <v>34</v>
      </c>
      <c r="E868" s="1">
        <v>1090.0</v>
      </c>
      <c r="F868" s="1">
        <v>28762.46463</v>
      </c>
    </row>
    <row r="869" ht="14.25" customHeight="1">
      <c r="A869" s="1">
        <v>202412.0</v>
      </c>
      <c r="B869" s="1" t="s">
        <v>68</v>
      </c>
      <c r="C869" s="1" t="s">
        <v>73</v>
      </c>
      <c r="D869" s="1" t="s">
        <v>9</v>
      </c>
      <c r="E869" s="1">
        <v>151.0</v>
      </c>
      <c r="F869" s="1">
        <v>2178.73353</v>
      </c>
    </row>
    <row r="870" ht="14.25" customHeight="1">
      <c r="A870" s="1">
        <v>202412.0</v>
      </c>
      <c r="B870" s="1" t="s">
        <v>68</v>
      </c>
      <c r="C870" s="1" t="s">
        <v>73</v>
      </c>
      <c r="D870" s="1" t="s">
        <v>10</v>
      </c>
      <c r="E870" s="1">
        <v>12827.0</v>
      </c>
      <c r="F870" s="1">
        <v>14539.47331</v>
      </c>
    </row>
    <row r="871" ht="14.25" customHeight="1">
      <c r="A871" s="1">
        <v>202412.0</v>
      </c>
      <c r="B871" s="1" t="s">
        <v>68</v>
      </c>
      <c r="C871" s="1" t="s">
        <v>73</v>
      </c>
      <c r="D871" s="1" t="s">
        <v>11</v>
      </c>
      <c r="E871" s="1">
        <v>14652.0</v>
      </c>
      <c r="F871" s="1">
        <v>12654.51529</v>
      </c>
    </row>
    <row r="872" ht="14.25" customHeight="1">
      <c r="A872" s="1">
        <v>202412.0</v>
      </c>
      <c r="B872" s="1" t="s">
        <v>68</v>
      </c>
      <c r="C872" s="1" t="s">
        <v>73</v>
      </c>
      <c r="D872" s="1" t="s">
        <v>12</v>
      </c>
      <c r="E872" s="1">
        <v>100.0</v>
      </c>
      <c r="F872" s="1">
        <v>1300.42127</v>
      </c>
    </row>
    <row r="873" ht="14.25" customHeight="1">
      <c r="A873" s="1">
        <v>202412.0</v>
      </c>
      <c r="B873" s="1" t="s">
        <v>68</v>
      </c>
      <c r="C873" s="1" t="s">
        <v>73</v>
      </c>
      <c r="D873" s="1" t="s">
        <v>13</v>
      </c>
      <c r="E873" s="1">
        <v>250.0</v>
      </c>
      <c r="F873" s="1">
        <v>4047.79904</v>
      </c>
    </row>
    <row r="874" ht="14.25" customHeight="1">
      <c r="A874" s="1">
        <v>202412.0</v>
      </c>
      <c r="B874" s="1" t="s">
        <v>68</v>
      </c>
      <c r="C874" s="1" t="s">
        <v>73</v>
      </c>
      <c r="D874" s="1" t="s">
        <v>14</v>
      </c>
      <c r="E874" s="1">
        <v>405.0</v>
      </c>
      <c r="F874" s="1">
        <v>4796.99805</v>
      </c>
    </row>
    <row r="875" ht="14.25" customHeight="1">
      <c r="A875" s="1">
        <v>202412.0</v>
      </c>
      <c r="B875" s="1" t="s">
        <v>68</v>
      </c>
      <c r="C875" s="1" t="s">
        <v>73</v>
      </c>
      <c r="D875" s="1" t="s">
        <v>15</v>
      </c>
      <c r="E875" s="1">
        <v>9.0</v>
      </c>
      <c r="F875" s="1">
        <v>1520.67804</v>
      </c>
    </row>
    <row r="876" ht="14.25" customHeight="1">
      <c r="A876" s="1">
        <v>202412.0</v>
      </c>
      <c r="B876" s="1" t="s">
        <v>68</v>
      </c>
      <c r="C876" s="1" t="s">
        <v>73</v>
      </c>
      <c r="D876" s="1" t="s">
        <v>16</v>
      </c>
      <c r="E876" s="1">
        <v>3769.0</v>
      </c>
      <c r="F876" s="1">
        <v>12929.88182</v>
      </c>
    </row>
    <row r="877" ht="14.25" customHeight="1">
      <c r="A877" s="1">
        <v>202412.0</v>
      </c>
      <c r="B877" s="1" t="s">
        <v>68</v>
      </c>
      <c r="C877" s="1" t="s">
        <v>73</v>
      </c>
      <c r="D877" s="1" t="s">
        <v>17</v>
      </c>
      <c r="E877" s="1">
        <v>3276.0</v>
      </c>
      <c r="F877" s="1">
        <v>8288.26489</v>
      </c>
    </row>
    <row r="878" ht="14.25" customHeight="1">
      <c r="A878" s="1">
        <v>202412.0</v>
      </c>
      <c r="B878" s="1" t="s">
        <v>68</v>
      </c>
      <c r="C878" s="1" t="s">
        <v>73</v>
      </c>
      <c r="D878" s="1" t="s">
        <v>18</v>
      </c>
      <c r="E878" s="1">
        <v>6731.0</v>
      </c>
      <c r="F878" s="1">
        <v>14809.20299</v>
      </c>
    </row>
    <row r="879" ht="14.25" customHeight="1">
      <c r="A879" s="1">
        <v>202412.0</v>
      </c>
      <c r="B879" s="1" t="s">
        <v>68</v>
      </c>
      <c r="C879" s="1" t="s">
        <v>73</v>
      </c>
      <c r="D879" s="1" t="s">
        <v>19</v>
      </c>
      <c r="E879" s="1">
        <v>26.0</v>
      </c>
      <c r="F879" s="1">
        <v>484.35497</v>
      </c>
    </row>
    <row r="880" ht="14.25" customHeight="1">
      <c r="A880" s="1">
        <v>202412.0</v>
      </c>
      <c r="B880" s="1" t="s">
        <v>68</v>
      </c>
      <c r="C880" s="1" t="s">
        <v>73</v>
      </c>
      <c r="D880" s="1" t="s">
        <v>20</v>
      </c>
      <c r="E880" s="1">
        <v>72.0</v>
      </c>
      <c r="F880" s="1">
        <v>1227.41117</v>
      </c>
    </row>
    <row r="881" ht="14.25" customHeight="1">
      <c r="A881" s="1">
        <v>202412.0</v>
      </c>
      <c r="B881" s="1" t="s">
        <v>68</v>
      </c>
      <c r="C881" s="1" t="s">
        <v>73</v>
      </c>
      <c r="D881" s="1" t="s">
        <v>21</v>
      </c>
      <c r="E881" s="1">
        <v>59.0</v>
      </c>
      <c r="F881" s="1">
        <v>1713.90735</v>
      </c>
    </row>
    <row r="882" ht="14.25" customHeight="1">
      <c r="A882" s="1">
        <v>202412.0</v>
      </c>
      <c r="B882" s="1" t="s">
        <v>68</v>
      </c>
      <c r="C882" s="1" t="s">
        <v>73</v>
      </c>
      <c r="D882" s="1" t="s">
        <v>22</v>
      </c>
      <c r="E882" s="1">
        <v>1.0</v>
      </c>
      <c r="F882" s="1">
        <v>168.5524</v>
      </c>
    </row>
    <row r="883" ht="14.25" customHeight="1">
      <c r="A883" s="1">
        <v>202412.0</v>
      </c>
      <c r="B883" s="1" t="s">
        <v>68</v>
      </c>
      <c r="C883" s="1" t="s">
        <v>73</v>
      </c>
      <c r="D883" s="1" t="s">
        <v>23</v>
      </c>
      <c r="E883" s="1">
        <v>13478.0</v>
      </c>
      <c r="F883" s="1">
        <v>16021.73227</v>
      </c>
    </row>
    <row r="884" ht="14.25" customHeight="1">
      <c r="A884" s="1">
        <v>202412.0</v>
      </c>
      <c r="B884" s="1" t="s">
        <v>68</v>
      </c>
      <c r="C884" s="1" t="s">
        <v>73</v>
      </c>
      <c r="D884" s="1" t="s">
        <v>24</v>
      </c>
      <c r="E884" s="1">
        <v>11.0</v>
      </c>
      <c r="F884" s="1">
        <v>198.65723</v>
      </c>
    </row>
    <row r="885" ht="14.25" customHeight="1">
      <c r="A885" s="1">
        <v>202412.0</v>
      </c>
      <c r="B885" s="1" t="s">
        <v>68</v>
      </c>
      <c r="C885" s="1" t="s">
        <v>73</v>
      </c>
      <c r="D885" s="1" t="s">
        <v>25</v>
      </c>
      <c r="E885" s="1">
        <v>395.0</v>
      </c>
      <c r="F885" s="1">
        <v>2092.67763</v>
      </c>
    </row>
    <row r="886" ht="14.25" customHeight="1">
      <c r="A886" s="1">
        <v>202412.0</v>
      </c>
      <c r="B886" s="1" t="s">
        <v>68</v>
      </c>
      <c r="C886" s="1" t="s">
        <v>73</v>
      </c>
      <c r="D886" s="1" t="s">
        <v>26</v>
      </c>
      <c r="E886" s="1">
        <v>1208.0</v>
      </c>
      <c r="F886" s="1">
        <v>3181.95696</v>
      </c>
    </row>
    <row r="887" ht="14.25" customHeight="1">
      <c r="A887" s="1">
        <v>202412.0</v>
      </c>
      <c r="B887" s="1" t="s">
        <v>68</v>
      </c>
      <c r="C887" s="1" t="s">
        <v>73</v>
      </c>
      <c r="D887" s="1" t="s">
        <v>27</v>
      </c>
      <c r="E887" s="1">
        <v>7.0</v>
      </c>
      <c r="F887" s="1">
        <v>1104.4868</v>
      </c>
    </row>
    <row r="888" ht="14.25" customHeight="1">
      <c r="A888" s="1">
        <v>202412.0</v>
      </c>
      <c r="B888" s="1" t="s">
        <v>68</v>
      </c>
      <c r="C888" s="1" t="s">
        <v>73</v>
      </c>
      <c r="D888" s="1" t="s">
        <v>28</v>
      </c>
      <c r="E888" s="1">
        <v>9.0</v>
      </c>
      <c r="F888" s="1">
        <v>151.50794</v>
      </c>
    </row>
    <row r="889" ht="14.25" customHeight="1">
      <c r="A889" s="1">
        <v>202412.0</v>
      </c>
      <c r="B889" s="1" t="s">
        <v>68</v>
      </c>
      <c r="C889" s="1" t="s">
        <v>73</v>
      </c>
      <c r="D889" s="1" t="s">
        <v>29</v>
      </c>
      <c r="E889" s="1">
        <v>25564.0</v>
      </c>
      <c r="F889" s="1">
        <v>60260.72466</v>
      </c>
    </row>
    <row r="890" ht="14.25" customHeight="1">
      <c r="A890" s="1">
        <v>202412.0</v>
      </c>
      <c r="B890" s="1" t="s">
        <v>68</v>
      </c>
      <c r="C890" s="1" t="s">
        <v>73</v>
      </c>
      <c r="D890" s="1" t="s">
        <v>30</v>
      </c>
      <c r="E890" s="1">
        <v>17.0</v>
      </c>
      <c r="F890" s="1">
        <v>18699.91411</v>
      </c>
    </row>
    <row r="891" ht="14.25" customHeight="1">
      <c r="A891" s="1">
        <v>202412.0</v>
      </c>
      <c r="B891" s="1" t="s">
        <v>68</v>
      </c>
      <c r="C891" s="1" t="s">
        <v>73</v>
      </c>
      <c r="D891" s="1" t="s">
        <v>31</v>
      </c>
      <c r="E891" s="1">
        <v>865.0</v>
      </c>
      <c r="F891" s="1">
        <v>2409.46116</v>
      </c>
    </row>
    <row r="892" ht="14.25" customHeight="1">
      <c r="A892" s="1">
        <v>202412.0</v>
      </c>
      <c r="B892" s="1" t="s">
        <v>68</v>
      </c>
      <c r="C892" s="1" t="s">
        <v>73</v>
      </c>
      <c r="D892" s="1" t="s">
        <v>32</v>
      </c>
      <c r="E892" s="1">
        <v>21.0</v>
      </c>
      <c r="F892" s="1">
        <v>9051.54168</v>
      </c>
    </row>
    <row r="893" ht="14.25" customHeight="1">
      <c r="A893" s="1">
        <v>202412.0</v>
      </c>
      <c r="B893" s="1" t="s">
        <v>68</v>
      </c>
      <c r="C893" s="1" t="s">
        <v>73</v>
      </c>
      <c r="D893" s="1" t="s">
        <v>33</v>
      </c>
      <c r="E893" s="1">
        <v>6313.0</v>
      </c>
      <c r="F893" s="1">
        <v>61752.56297</v>
      </c>
    </row>
    <row r="894" ht="14.25" customHeight="1">
      <c r="A894" s="1">
        <v>202412.0</v>
      </c>
      <c r="B894" s="1" t="s">
        <v>68</v>
      </c>
      <c r="C894" s="1" t="s">
        <v>73</v>
      </c>
      <c r="D894" s="1" t="s">
        <v>34</v>
      </c>
      <c r="E894" s="1">
        <v>749.0</v>
      </c>
      <c r="F894" s="1">
        <v>19559.17273</v>
      </c>
    </row>
    <row r="895" ht="14.25" customHeight="1">
      <c r="A895" s="1">
        <v>202412.0</v>
      </c>
      <c r="B895" s="1" t="s">
        <v>68</v>
      </c>
      <c r="C895" s="1" t="s">
        <v>74</v>
      </c>
      <c r="D895" s="1" t="s">
        <v>9</v>
      </c>
      <c r="E895" s="1">
        <v>22.0</v>
      </c>
      <c r="F895" s="1">
        <v>474.26692</v>
      </c>
    </row>
    <row r="896" ht="14.25" customHeight="1">
      <c r="A896" s="1">
        <v>202412.0</v>
      </c>
      <c r="B896" s="1" t="s">
        <v>68</v>
      </c>
      <c r="C896" s="1" t="s">
        <v>74</v>
      </c>
      <c r="D896" s="1" t="s">
        <v>10</v>
      </c>
      <c r="E896" s="1">
        <v>34389.0</v>
      </c>
      <c r="F896" s="1">
        <v>40022.35397</v>
      </c>
    </row>
    <row r="897" ht="14.25" customHeight="1">
      <c r="A897" s="1">
        <v>202412.0</v>
      </c>
      <c r="B897" s="1" t="s">
        <v>68</v>
      </c>
      <c r="C897" s="1" t="s">
        <v>74</v>
      </c>
      <c r="D897" s="1" t="s">
        <v>11</v>
      </c>
      <c r="E897" s="1">
        <v>34896.0</v>
      </c>
      <c r="F897" s="1">
        <v>26818.3611</v>
      </c>
    </row>
    <row r="898" ht="14.25" customHeight="1">
      <c r="A898" s="1">
        <v>202412.0</v>
      </c>
      <c r="B898" s="1" t="s">
        <v>68</v>
      </c>
      <c r="C898" s="1" t="s">
        <v>74</v>
      </c>
      <c r="D898" s="1" t="s">
        <v>12</v>
      </c>
      <c r="E898" s="1">
        <v>214.0</v>
      </c>
      <c r="F898" s="1">
        <v>2783.75244</v>
      </c>
    </row>
    <row r="899" ht="14.25" customHeight="1">
      <c r="A899" s="1">
        <v>202412.0</v>
      </c>
      <c r="B899" s="1" t="s">
        <v>68</v>
      </c>
      <c r="C899" s="1" t="s">
        <v>74</v>
      </c>
      <c r="D899" s="1" t="s">
        <v>13</v>
      </c>
      <c r="E899" s="1">
        <v>650.0</v>
      </c>
      <c r="F899" s="1">
        <v>9458.75944</v>
      </c>
    </row>
    <row r="900" ht="14.25" customHeight="1">
      <c r="A900" s="1">
        <v>202412.0</v>
      </c>
      <c r="B900" s="1" t="s">
        <v>68</v>
      </c>
      <c r="C900" s="1" t="s">
        <v>74</v>
      </c>
      <c r="D900" s="1" t="s">
        <v>14</v>
      </c>
      <c r="E900" s="1">
        <v>1108.0</v>
      </c>
      <c r="F900" s="1">
        <v>12502.74098</v>
      </c>
    </row>
    <row r="901" ht="14.25" customHeight="1">
      <c r="A901" s="1">
        <v>202412.0</v>
      </c>
      <c r="B901" s="1" t="s">
        <v>68</v>
      </c>
      <c r="C901" s="1" t="s">
        <v>74</v>
      </c>
      <c r="D901" s="1" t="s">
        <v>15</v>
      </c>
      <c r="E901" s="1">
        <v>48.0</v>
      </c>
      <c r="F901" s="1">
        <v>6319.70806</v>
      </c>
    </row>
    <row r="902" ht="14.25" customHeight="1">
      <c r="A902" s="1">
        <v>202412.0</v>
      </c>
      <c r="B902" s="1" t="s">
        <v>68</v>
      </c>
      <c r="C902" s="1" t="s">
        <v>74</v>
      </c>
      <c r="D902" s="1" t="s">
        <v>16</v>
      </c>
      <c r="E902" s="1">
        <v>12532.0</v>
      </c>
      <c r="F902" s="1">
        <v>44216.51508</v>
      </c>
    </row>
    <row r="903" ht="14.25" customHeight="1">
      <c r="A903" s="1">
        <v>202412.0</v>
      </c>
      <c r="B903" s="1" t="s">
        <v>68</v>
      </c>
      <c r="C903" s="1" t="s">
        <v>74</v>
      </c>
      <c r="D903" s="1" t="s">
        <v>17</v>
      </c>
      <c r="E903" s="1">
        <v>7994.0</v>
      </c>
      <c r="F903" s="1">
        <v>17699.49814</v>
      </c>
    </row>
    <row r="904" ht="14.25" customHeight="1">
      <c r="A904" s="1">
        <v>202412.0</v>
      </c>
      <c r="B904" s="1" t="s">
        <v>68</v>
      </c>
      <c r="C904" s="1" t="s">
        <v>74</v>
      </c>
      <c r="D904" s="1" t="s">
        <v>18</v>
      </c>
      <c r="E904" s="1">
        <v>15781.0</v>
      </c>
      <c r="F904" s="1">
        <v>32226.89288</v>
      </c>
    </row>
    <row r="905" ht="14.25" customHeight="1">
      <c r="A905" s="1">
        <v>202412.0</v>
      </c>
      <c r="B905" s="1" t="s">
        <v>68</v>
      </c>
      <c r="C905" s="1" t="s">
        <v>74</v>
      </c>
      <c r="D905" s="1" t="s">
        <v>19</v>
      </c>
      <c r="E905" s="1">
        <v>45.0</v>
      </c>
      <c r="F905" s="1">
        <v>909.56257</v>
      </c>
    </row>
    <row r="906" ht="14.25" customHeight="1">
      <c r="A906" s="1">
        <v>202412.0</v>
      </c>
      <c r="B906" s="1" t="s">
        <v>68</v>
      </c>
      <c r="C906" s="1" t="s">
        <v>74</v>
      </c>
      <c r="D906" s="1" t="s">
        <v>20</v>
      </c>
      <c r="E906" s="1">
        <v>198.0</v>
      </c>
      <c r="F906" s="1">
        <v>556.36395</v>
      </c>
    </row>
    <row r="907" ht="14.25" customHeight="1">
      <c r="A907" s="1">
        <v>202412.0</v>
      </c>
      <c r="B907" s="1" t="s">
        <v>68</v>
      </c>
      <c r="C907" s="1" t="s">
        <v>74</v>
      </c>
      <c r="D907" s="1" t="s">
        <v>37</v>
      </c>
      <c r="E907" s="1">
        <v>3.0</v>
      </c>
      <c r="F907" s="1">
        <v>1294.8372</v>
      </c>
    </row>
    <row r="908" ht="14.25" customHeight="1">
      <c r="A908" s="1">
        <v>202412.0</v>
      </c>
      <c r="B908" s="1" t="s">
        <v>68</v>
      </c>
      <c r="C908" s="1" t="s">
        <v>74</v>
      </c>
      <c r="D908" s="1" t="s">
        <v>21</v>
      </c>
      <c r="E908" s="1">
        <v>211.0</v>
      </c>
      <c r="F908" s="1">
        <v>4954.04203</v>
      </c>
    </row>
    <row r="909" ht="14.25" customHeight="1">
      <c r="A909" s="1">
        <v>202412.0</v>
      </c>
      <c r="B909" s="1" t="s">
        <v>68</v>
      </c>
      <c r="C909" s="1" t="s">
        <v>74</v>
      </c>
      <c r="D909" s="1" t="s">
        <v>22</v>
      </c>
      <c r="E909" s="1">
        <v>6.0</v>
      </c>
      <c r="F909" s="1">
        <v>281.3944</v>
      </c>
    </row>
    <row r="910" ht="14.25" customHeight="1">
      <c r="A910" s="1">
        <v>202412.0</v>
      </c>
      <c r="B910" s="1" t="s">
        <v>68</v>
      </c>
      <c r="C910" s="1" t="s">
        <v>74</v>
      </c>
      <c r="D910" s="1" t="s">
        <v>23</v>
      </c>
      <c r="E910" s="1">
        <v>33970.0</v>
      </c>
      <c r="F910" s="1">
        <v>36066.93284</v>
      </c>
    </row>
    <row r="911" ht="14.25" customHeight="1">
      <c r="A911" s="1">
        <v>202412.0</v>
      </c>
      <c r="B911" s="1" t="s">
        <v>68</v>
      </c>
      <c r="C911" s="1" t="s">
        <v>74</v>
      </c>
      <c r="D911" s="1" t="s">
        <v>24</v>
      </c>
      <c r="E911" s="1">
        <v>37.0</v>
      </c>
      <c r="F911" s="1">
        <v>695.56796</v>
      </c>
    </row>
    <row r="912" ht="14.25" customHeight="1">
      <c r="A912" s="1">
        <v>202412.0</v>
      </c>
      <c r="B912" s="1" t="s">
        <v>68</v>
      </c>
      <c r="C912" s="1" t="s">
        <v>74</v>
      </c>
      <c r="D912" s="1" t="s">
        <v>25</v>
      </c>
      <c r="E912" s="1">
        <v>1578.0</v>
      </c>
      <c r="F912" s="1">
        <v>6844.15776</v>
      </c>
    </row>
    <row r="913" ht="14.25" customHeight="1">
      <c r="A913" s="1">
        <v>202412.0</v>
      </c>
      <c r="B913" s="1" t="s">
        <v>68</v>
      </c>
      <c r="C913" s="1" t="s">
        <v>74</v>
      </c>
      <c r="D913" s="1" t="s">
        <v>26</v>
      </c>
      <c r="E913" s="1">
        <v>2719.0</v>
      </c>
      <c r="F913" s="1">
        <v>6708.8296</v>
      </c>
    </row>
    <row r="914" ht="14.25" customHeight="1">
      <c r="A914" s="1">
        <v>202412.0</v>
      </c>
      <c r="B914" s="1" t="s">
        <v>68</v>
      </c>
      <c r="C914" s="1" t="s">
        <v>74</v>
      </c>
      <c r="D914" s="1" t="s">
        <v>27</v>
      </c>
      <c r="E914" s="1">
        <v>12.0</v>
      </c>
      <c r="F914" s="1">
        <v>1690.7488</v>
      </c>
    </row>
    <row r="915" ht="14.25" customHeight="1">
      <c r="A915" s="1">
        <v>202412.0</v>
      </c>
      <c r="B915" s="1" t="s">
        <v>68</v>
      </c>
      <c r="C915" s="1" t="s">
        <v>74</v>
      </c>
      <c r="D915" s="1" t="s">
        <v>28</v>
      </c>
      <c r="E915" s="1">
        <v>41.0</v>
      </c>
      <c r="F915" s="1">
        <v>618.71131</v>
      </c>
    </row>
    <row r="916" ht="14.25" customHeight="1">
      <c r="A916" s="1">
        <v>202412.0</v>
      </c>
      <c r="B916" s="1" t="s">
        <v>68</v>
      </c>
      <c r="C916" s="1" t="s">
        <v>74</v>
      </c>
      <c r="D916" s="1" t="s">
        <v>29</v>
      </c>
      <c r="E916" s="1">
        <v>58606.0</v>
      </c>
      <c r="F916" s="1">
        <v>113415.2947</v>
      </c>
    </row>
    <row r="917" ht="14.25" customHeight="1">
      <c r="A917" s="1">
        <v>202412.0</v>
      </c>
      <c r="B917" s="1" t="s">
        <v>68</v>
      </c>
      <c r="C917" s="1" t="s">
        <v>74</v>
      </c>
      <c r="D917" s="1" t="s">
        <v>30</v>
      </c>
      <c r="E917" s="1">
        <v>17.0</v>
      </c>
      <c r="F917" s="1">
        <v>37466.7608</v>
      </c>
    </row>
    <row r="918" ht="14.25" customHeight="1">
      <c r="A918" s="1">
        <v>202412.0</v>
      </c>
      <c r="B918" s="1" t="s">
        <v>68</v>
      </c>
      <c r="C918" s="1" t="s">
        <v>74</v>
      </c>
      <c r="D918" s="1" t="s">
        <v>31</v>
      </c>
      <c r="E918" s="1">
        <v>3323.0</v>
      </c>
      <c r="F918" s="1">
        <v>8854.05872</v>
      </c>
    </row>
    <row r="919" ht="14.25" customHeight="1">
      <c r="A919" s="1">
        <v>202412.0</v>
      </c>
      <c r="B919" s="1" t="s">
        <v>68</v>
      </c>
      <c r="C919" s="1" t="s">
        <v>74</v>
      </c>
      <c r="D919" s="1" t="s">
        <v>32</v>
      </c>
      <c r="E919" s="1">
        <v>67.0</v>
      </c>
      <c r="F919" s="1">
        <v>16146.86167</v>
      </c>
    </row>
    <row r="920" ht="14.25" customHeight="1">
      <c r="A920" s="1">
        <v>202412.0</v>
      </c>
      <c r="B920" s="1" t="s">
        <v>68</v>
      </c>
      <c r="C920" s="1" t="s">
        <v>74</v>
      </c>
      <c r="D920" s="1" t="s">
        <v>33</v>
      </c>
      <c r="E920" s="1">
        <v>16824.0</v>
      </c>
      <c r="F920" s="1">
        <v>138364.1993</v>
      </c>
    </row>
    <row r="921" ht="14.25" customHeight="1">
      <c r="A921" s="1">
        <v>202412.0</v>
      </c>
      <c r="B921" s="1" t="s">
        <v>68</v>
      </c>
      <c r="C921" s="1" t="s">
        <v>74</v>
      </c>
      <c r="D921" s="1" t="s">
        <v>34</v>
      </c>
      <c r="E921" s="1">
        <v>2027.0</v>
      </c>
      <c r="F921" s="1">
        <v>46394.50567</v>
      </c>
    </row>
    <row r="922" ht="14.25" customHeight="1">
      <c r="A922" s="1">
        <v>202412.0</v>
      </c>
      <c r="B922" s="1" t="s">
        <v>75</v>
      </c>
      <c r="C922" s="1" t="s">
        <v>76</v>
      </c>
      <c r="D922" s="1" t="s">
        <v>9</v>
      </c>
      <c r="E922" s="1">
        <v>7.0</v>
      </c>
      <c r="F922" s="1">
        <v>72.43529</v>
      </c>
    </row>
    <row r="923" ht="14.25" customHeight="1">
      <c r="A923" s="1">
        <v>202412.0</v>
      </c>
      <c r="B923" s="1" t="s">
        <v>75</v>
      </c>
      <c r="C923" s="1" t="s">
        <v>76</v>
      </c>
      <c r="D923" s="1" t="s">
        <v>10</v>
      </c>
      <c r="E923" s="1">
        <v>22704.0</v>
      </c>
      <c r="F923" s="1">
        <v>23901.63079</v>
      </c>
    </row>
    <row r="924" ht="14.25" customHeight="1">
      <c r="A924" s="1">
        <v>202412.0</v>
      </c>
      <c r="B924" s="1" t="s">
        <v>75</v>
      </c>
      <c r="C924" s="1" t="s">
        <v>76</v>
      </c>
      <c r="D924" s="1" t="s">
        <v>11</v>
      </c>
      <c r="E924" s="1">
        <v>19814.0</v>
      </c>
      <c r="F924" s="1">
        <v>14285.71664</v>
      </c>
    </row>
    <row r="925" ht="14.25" customHeight="1">
      <c r="A925" s="1">
        <v>202412.0</v>
      </c>
      <c r="B925" s="1" t="s">
        <v>75</v>
      </c>
      <c r="C925" s="1" t="s">
        <v>76</v>
      </c>
      <c r="D925" s="1" t="s">
        <v>12</v>
      </c>
      <c r="E925" s="1">
        <v>113.0</v>
      </c>
      <c r="F925" s="1">
        <v>1332.03743</v>
      </c>
    </row>
    <row r="926" ht="14.25" customHeight="1">
      <c r="A926" s="1">
        <v>202412.0</v>
      </c>
      <c r="B926" s="1" t="s">
        <v>75</v>
      </c>
      <c r="C926" s="1" t="s">
        <v>76</v>
      </c>
      <c r="D926" s="1" t="s">
        <v>13</v>
      </c>
      <c r="E926" s="1">
        <v>304.0</v>
      </c>
      <c r="F926" s="1">
        <v>3999.84156</v>
      </c>
    </row>
    <row r="927" ht="14.25" customHeight="1">
      <c r="A927" s="1">
        <v>202412.0</v>
      </c>
      <c r="B927" s="1" t="s">
        <v>75</v>
      </c>
      <c r="C927" s="1" t="s">
        <v>76</v>
      </c>
      <c r="D927" s="1" t="s">
        <v>14</v>
      </c>
      <c r="E927" s="1">
        <v>431.0</v>
      </c>
      <c r="F927" s="1">
        <v>4531.62981</v>
      </c>
    </row>
    <row r="928" ht="14.25" customHeight="1">
      <c r="A928" s="1">
        <v>202412.0</v>
      </c>
      <c r="B928" s="1" t="s">
        <v>75</v>
      </c>
      <c r="C928" s="1" t="s">
        <v>76</v>
      </c>
      <c r="D928" s="1" t="s">
        <v>15</v>
      </c>
      <c r="E928" s="1">
        <v>42.0</v>
      </c>
      <c r="F928" s="1">
        <v>4119.6908</v>
      </c>
    </row>
    <row r="929" ht="14.25" customHeight="1">
      <c r="A929" s="1">
        <v>202412.0</v>
      </c>
      <c r="B929" s="1" t="s">
        <v>75</v>
      </c>
      <c r="C929" s="1" t="s">
        <v>76</v>
      </c>
      <c r="D929" s="1" t="s">
        <v>16</v>
      </c>
      <c r="E929" s="1">
        <v>6811.0</v>
      </c>
      <c r="F929" s="1">
        <v>17651.24185</v>
      </c>
    </row>
    <row r="930" ht="14.25" customHeight="1">
      <c r="A930" s="1">
        <v>202412.0</v>
      </c>
      <c r="B930" s="1" t="s">
        <v>75</v>
      </c>
      <c r="C930" s="1" t="s">
        <v>76</v>
      </c>
      <c r="D930" s="1" t="s">
        <v>17</v>
      </c>
      <c r="E930" s="1">
        <v>5056.0</v>
      </c>
      <c r="F930" s="1">
        <v>10270.47699</v>
      </c>
    </row>
    <row r="931" ht="14.25" customHeight="1">
      <c r="A931" s="1">
        <v>202412.0</v>
      </c>
      <c r="B931" s="1" t="s">
        <v>75</v>
      </c>
      <c r="C931" s="1" t="s">
        <v>76</v>
      </c>
      <c r="D931" s="1" t="s">
        <v>18</v>
      </c>
      <c r="E931" s="1">
        <v>9202.0</v>
      </c>
      <c r="F931" s="1">
        <v>14919.08181</v>
      </c>
    </row>
    <row r="932" ht="14.25" customHeight="1">
      <c r="A932" s="1">
        <v>202412.0</v>
      </c>
      <c r="B932" s="1" t="s">
        <v>75</v>
      </c>
      <c r="C932" s="1" t="s">
        <v>76</v>
      </c>
      <c r="D932" s="1" t="s">
        <v>19</v>
      </c>
      <c r="E932" s="1">
        <v>21.0</v>
      </c>
      <c r="F932" s="1">
        <v>499.05216</v>
      </c>
    </row>
    <row r="933" ht="14.25" customHeight="1">
      <c r="A933" s="1">
        <v>202412.0</v>
      </c>
      <c r="B933" s="1" t="s">
        <v>75</v>
      </c>
      <c r="C933" s="1" t="s">
        <v>76</v>
      </c>
      <c r="D933" s="1" t="s">
        <v>20</v>
      </c>
      <c r="E933" s="1">
        <v>236.0</v>
      </c>
      <c r="F933" s="1">
        <v>573.78713</v>
      </c>
    </row>
    <row r="934" ht="14.25" customHeight="1">
      <c r="A934" s="1">
        <v>202412.0</v>
      </c>
      <c r="B934" s="1" t="s">
        <v>75</v>
      </c>
      <c r="C934" s="1" t="s">
        <v>76</v>
      </c>
      <c r="D934" s="1" t="s">
        <v>37</v>
      </c>
      <c r="E934" s="1">
        <v>8.0</v>
      </c>
      <c r="F934" s="1">
        <v>288.5792</v>
      </c>
    </row>
    <row r="935" ht="14.25" customHeight="1">
      <c r="A935" s="1">
        <v>202412.0</v>
      </c>
      <c r="B935" s="1" t="s">
        <v>75</v>
      </c>
      <c r="C935" s="1" t="s">
        <v>76</v>
      </c>
      <c r="D935" s="1" t="s">
        <v>21</v>
      </c>
      <c r="E935" s="1">
        <v>149.0</v>
      </c>
      <c r="F935" s="1">
        <v>3528.78735</v>
      </c>
    </row>
    <row r="936" ht="14.25" customHeight="1">
      <c r="A936" s="1">
        <v>202412.0</v>
      </c>
      <c r="B936" s="1" t="s">
        <v>75</v>
      </c>
      <c r="C936" s="1" t="s">
        <v>76</v>
      </c>
      <c r="D936" s="1" t="s">
        <v>22</v>
      </c>
      <c r="E936" s="1">
        <v>1.0</v>
      </c>
      <c r="F936" s="1">
        <v>224.7324</v>
      </c>
    </row>
    <row r="937" ht="14.25" customHeight="1">
      <c r="A937" s="1">
        <v>202412.0</v>
      </c>
      <c r="B937" s="1" t="s">
        <v>75</v>
      </c>
      <c r="C937" s="1" t="s">
        <v>76</v>
      </c>
      <c r="D937" s="1" t="s">
        <v>23</v>
      </c>
      <c r="E937" s="1">
        <v>17897.0</v>
      </c>
      <c r="F937" s="1">
        <v>17058.88769</v>
      </c>
    </row>
    <row r="938" ht="14.25" customHeight="1">
      <c r="A938" s="1">
        <v>202412.0</v>
      </c>
      <c r="B938" s="1" t="s">
        <v>75</v>
      </c>
      <c r="C938" s="1" t="s">
        <v>76</v>
      </c>
      <c r="D938" s="1" t="s">
        <v>24</v>
      </c>
      <c r="E938" s="1">
        <v>18.0</v>
      </c>
      <c r="F938" s="1">
        <v>280.87259</v>
      </c>
    </row>
    <row r="939" ht="14.25" customHeight="1">
      <c r="A939" s="1">
        <v>202412.0</v>
      </c>
      <c r="B939" s="1" t="s">
        <v>75</v>
      </c>
      <c r="C939" s="1" t="s">
        <v>76</v>
      </c>
      <c r="D939" s="1" t="s">
        <v>25</v>
      </c>
      <c r="E939" s="1">
        <v>1322.0</v>
      </c>
      <c r="F939" s="1">
        <v>3303.96538</v>
      </c>
    </row>
    <row r="940" ht="14.25" customHeight="1">
      <c r="A940" s="1">
        <v>202412.0</v>
      </c>
      <c r="B940" s="1" t="s">
        <v>75</v>
      </c>
      <c r="C940" s="1" t="s">
        <v>76</v>
      </c>
      <c r="D940" s="1" t="s">
        <v>26</v>
      </c>
      <c r="E940" s="1">
        <v>1546.0</v>
      </c>
      <c r="F940" s="1">
        <v>3269.20944</v>
      </c>
    </row>
    <row r="941" ht="14.25" customHeight="1">
      <c r="A941" s="1">
        <v>202412.0</v>
      </c>
      <c r="B941" s="1" t="s">
        <v>75</v>
      </c>
      <c r="C941" s="1" t="s">
        <v>76</v>
      </c>
      <c r="D941" s="1" t="s">
        <v>27</v>
      </c>
      <c r="E941" s="1">
        <v>9.0</v>
      </c>
      <c r="F941" s="1">
        <v>775.19488</v>
      </c>
    </row>
    <row r="942" ht="14.25" customHeight="1">
      <c r="A942" s="1">
        <v>202412.0</v>
      </c>
      <c r="B942" s="1" t="s">
        <v>75</v>
      </c>
      <c r="C942" s="1" t="s">
        <v>76</v>
      </c>
      <c r="D942" s="1" t="s">
        <v>28</v>
      </c>
      <c r="E942" s="1">
        <v>51.0</v>
      </c>
      <c r="F942" s="1">
        <v>747.30432</v>
      </c>
    </row>
    <row r="943" ht="14.25" customHeight="1">
      <c r="A943" s="1">
        <v>202412.0</v>
      </c>
      <c r="B943" s="1" t="s">
        <v>75</v>
      </c>
      <c r="C943" s="1" t="s">
        <v>76</v>
      </c>
      <c r="D943" s="1" t="s">
        <v>29</v>
      </c>
      <c r="E943" s="1">
        <v>31774.0</v>
      </c>
      <c r="F943" s="1">
        <v>49759.42074</v>
      </c>
    </row>
    <row r="944" ht="14.25" customHeight="1">
      <c r="A944" s="1">
        <v>202412.0</v>
      </c>
      <c r="B944" s="1" t="s">
        <v>75</v>
      </c>
      <c r="C944" s="1" t="s">
        <v>76</v>
      </c>
      <c r="D944" s="1" t="s">
        <v>30</v>
      </c>
      <c r="E944" s="1">
        <v>8.0</v>
      </c>
      <c r="F944" s="1">
        <v>13572.37491</v>
      </c>
    </row>
    <row r="945" ht="14.25" customHeight="1">
      <c r="A945" s="1">
        <v>202412.0</v>
      </c>
      <c r="B945" s="1" t="s">
        <v>75</v>
      </c>
      <c r="C945" s="1" t="s">
        <v>76</v>
      </c>
      <c r="D945" s="1" t="s">
        <v>31</v>
      </c>
      <c r="E945" s="1">
        <v>1525.0</v>
      </c>
      <c r="F945" s="1">
        <v>2757.65742</v>
      </c>
    </row>
    <row r="946" ht="14.25" customHeight="1">
      <c r="A946" s="1">
        <v>202412.0</v>
      </c>
      <c r="B946" s="1" t="s">
        <v>75</v>
      </c>
      <c r="C946" s="1" t="s">
        <v>76</v>
      </c>
      <c r="D946" s="1" t="s">
        <v>32</v>
      </c>
      <c r="E946" s="1">
        <v>9.0</v>
      </c>
      <c r="F946" s="1">
        <v>1158.05327</v>
      </c>
    </row>
    <row r="947" ht="14.25" customHeight="1">
      <c r="A947" s="1">
        <v>202412.0</v>
      </c>
      <c r="B947" s="1" t="s">
        <v>75</v>
      </c>
      <c r="C947" s="1" t="s">
        <v>76</v>
      </c>
      <c r="D947" s="1" t="s">
        <v>33</v>
      </c>
      <c r="E947" s="1">
        <v>10340.0</v>
      </c>
      <c r="F947" s="1">
        <v>61585.27357</v>
      </c>
    </row>
    <row r="948" ht="14.25" customHeight="1">
      <c r="A948" s="1">
        <v>202412.0</v>
      </c>
      <c r="B948" s="1" t="s">
        <v>75</v>
      </c>
      <c r="C948" s="1" t="s">
        <v>76</v>
      </c>
      <c r="D948" s="1" t="s">
        <v>34</v>
      </c>
      <c r="E948" s="1">
        <v>357.0</v>
      </c>
      <c r="F948" s="1">
        <v>8809.61398</v>
      </c>
    </row>
    <row r="949" ht="14.25" customHeight="1">
      <c r="A949" s="1">
        <v>202412.0</v>
      </c>
      <c r="B949" s="1" t="s">
        <v>75</v>
      </c>
      <c r="C949" s="1" t="s">
        <v>77</v>
      </c>
      <c r="D949" s="1" t="s">
        <v>9</v>
      </c>
      <c r="E949" s="1">
        <v>26.0</v>
      </c>
      <c r="F949" s="1">
        <v>538.56561</v>
      </c>
    </row>
    <row r="950" ht="14.25" customHeight="1">
      <c r="A950" s="1">
        <v>202412.0</v>
      </c>
      <c r="B950" s="1" t="s">
        <v>75</v>
      </c>
      <c r="C950" s="1" t="s">
        <v>77</v>
      </c>
      <c r="D950" s="1" t="s">
        <v>10</v>
      </c>
      <c r="E950" s="1">
        <v>19700.0</v>
      </c>
      <c r="F950" s="1">
        <v>23754.66458</v>
      </c>
    </row>
    <row r="951" ht="14.25" customHeight="1">
      <c r="A951" s="1">
        <v>202412.0</v>
      </c>
      <c r="B951" s="1" t="s">
        <v>75</v>
      </c>
      <c r="C951" s="1" t="s">
        <v>77</v>
      </c>
      <c r="D951" s="1" t="s">
        <v>11</v>
      </c>
      <c r="E951" s="1">
        <v>15333.0</v>
      </c>
      <c r="F951" s="1">
        <v>13220.50055</v>
      </c>
    </row>
    <row r="952" ht="14.25" customHeight="1">
      <c r="A952" s="1">
        <v>202412.0</v>
      </c>
      <c r="B952" s="1" t="s">
        <v>75</v>
      </c>
      <c r="C952" s="1" t="s">
        <v>77</v>
      </c>
      <c r="D952" s="1" t="s">
        <v>12</v>
      </c>
      <c r="E952" s="1">
        <v>76.0</v>
      </c>
      <c r="F952" s="1">
        <v>913.40774</v>
      </c>
    </row>
    <row r="953" ht="14.25" customHeight="1">
      <c r="A953" s="1">
        <v>202412.0</v>
      </c>
      <c r="B953" s="1" t="s">
        <v>75</v>
      </c>
      <c r="C953" s="1" t="s">
        <v>77</v>
      </c>
      <c r="D953" s="1" t="s">
        <v>13</v>
      </c>
      <c r="E953" s="1">
        <v>291.0</v>
      </c>
      <c r="F953" s="1">
        <v>3871.69996</v>
      </c>
    </row>
    <row r="954" ht="14.25" customHeight="1">
      <c r="A954" s="1">
        <v>202412.0</v>
      </c>
      <c r="B954" s="1" t="s">
        <v>75</v>
      </c>
      <c r="C954" s="1" t="s">
        <v>77</v>
      </c>
      <c r="D954" s="1" t="s">
        <v>14</v>
      </c>
      <c r="E954" s="1">
        <v>307.0</v>
      </c>
      <c r="F954" s="1">
        <v>3833.16449</v>
      </c>
    </row>
    <row r="955" ht="14.25" customHeight="1">
      <c r="A955" s="1">
        <v>202412.0</v>
      </c>
      <c r="B955" s="1" t="s">
        <v>75</v>
      </c>
      <c r="C955" s="1" t="s">
        <v>77</v>
      </c>
      <c r="D955" s="1" t="s">
        <v>15</v>
      </c>
      <c r="E955" s="1">
        <v>40.0</v>
      </c>
      <c r="F955" s="1">
        <v>4670.44333</v>
      </c>
    </row>
    <row r="956" ht="14.25" customHeight="1">
      <c r="A956" s="1">
        <v>202412.0</v>
      </c>
      <c r="B956" s="1" t="s">
        <v>75</v>
      </c>
      <c r="C956" s="1" t="s">
        <v>77</v>
      </c>
      <c r="D956" s="1" t="s">
        <v>16</v>
      </c>
      <c r="E956" s="1">
        <v>5191.0</v>
      </c>
      <c r="F956" s="1">
        <v>18351.18739</v>
      </c>
    </row>
    <row r="957" ht="14.25" customHeight="1">
      <c r="A957" s="1">
        <v>202412.0</v>
      </c>
      <c r="B957" s="1" t="s">
        <v>75</v>
      </c>
      <c r="C957" s="1" t="s">
        <v>77</v>
      </c>
      <c r="D957" s="1" t="s">
        <v>17</v>
      </c>
      <c r="E957" s="1">
        <v>3008.0</v>
      </c>
      <c r="F957" s="1">
        <v>6834.19977</v>
      </c>
    </row>
    <row r="958" ht="14.25" customHeight="1">
      <c r="A958" s="1">
        <v>202412.0</v>
      </c>
      <c r="B958" s="1" t="s">
        <v>75</v>
      </c>
      <c r="C958" s="1" t="s">
        <v>77</v>
      </c>
      <c r="D958" s="1" t="s">
        <v>18</v>
      </c>
      <c r="E958" s="1">
        <v>6916.0</v>
      </c>
      <c r="F958" s="1">
        <v>15652.10087</v>
      </c>
    </row>
    <row r="959" ht="14.25" customHeight="1">
      <c r="A959" s="1">
        <v>202412.0</v>
      </c>
      <c r="B959" s="1" t="s">
        <v>75</v>
      </c>
      <c r="C959" s="1" t="s">
        <v>77</v>
      </c>
      <c r="D959" s="1" t="s">
        <v>19</v>
      </c>
      <c r="E959" s="1">
        <v>47.0</v>
      </c>
      <c r="F959" s="1">
        <v>914.00101</v>
      </c>
    </row>
    <row r="960" ht="14.25" customHeight="1">
      <c r="A960" s="1">
        <v>202412.0</v>
      </c>
      <c r="B960" s="1" t="s">
        <v>75</v>
      </c>
      <c r="C960" s="1" t="s">
        <v>77</v>
      </c>
      <c r="D960" s="1" t="s">
        <v>20</v>
      </c>
      <c r="E960" s="1">
        <v>57.0</v>
      </c>
      <c r="F960" s="1">
        <v>148.22117</v>
      </c>
    </row>
    <row r="961" ht="14.25" customHeight="1">
      <c r="A961" s="1">
        <v>202412.0</v>
      </c>
      <c r="B961" s="1" t="s">
        <v>75</v>
      </c>
      <c r="C961" s="1" t="s">
        <v>77</v>
      </c>
      <c r="D961" s="1" t="s">
        <v>37</v>
      </c>
      <c r="E961" s="1">
        <v>3.0</v>
      </c>
      <c r="F961" s="1">
        <v>2205.74971</v>
      </c>
    </row>
    <row r="962" ht="14.25" customHeight="1">
      <c r="A962" s="1">
        <v>202412.0</v>
      </c>
      <c r="B962" s="1" t="s">
        <v>75</v>
      </c>
      <c r="C962" s="1" t="s">
        <v>77</v>
      </c>
      <c r="D962" s="1" t="s">
        <v>21</v>
      </c>
      <c r="E962" s="1">
        <v>156.0</v>
      </c>
      <c r="F962" s="1">
        <v>4261.23222</v>
      </c>
    </row>
    <row r="963" ht="14.25" customHeight="1">
      <c r="A963" s="1">
        <v>202412.0</v>
      </c>
      <c r="B963" s="1" t="s">
        <v>75</v>
      </c>
      <c r="C963" s="1" t="s">
        <v>77</v>
      </c>
      <c r="D963" s="1" t="s">
        <v>22</v>
      </c>
      <c r="E963" s="1">
        <v>2.0</v>
      </c>
      <c r="F963" s="1">
        <v>87.46184</v>
      </c>
    </row>
    <row r="964" ht="14.25" customHeight="1">
      <c r="A964" s="1">
        <v>202412.0</v>
      </c>
      <c r="B964" s="1" t="s">
        <v>75</v>
      </c>
      <c r="C964" s="1" t="s">
        <v>77</v>
      </c>
      <c r="D964" s="1" t="s">
        <v>23</v>
      </c>
      <c r="E964" s="1">
        <v>18077.0</v>
      </c>
      <c r="F964" s="1">
        <v>19668.08645</v>
      </c>
    </row>
    <row r="965" ht="14.25" customHeight="1">
      <c r="A965" s="1">
        <v>202412.0</v>
      </c>
      <c r="B965" s="1" t="s">
        <v>75</v>
      </c>
      <c r="C965" s="1" t="s">
        <v>77</v>
      </c>
      <c r="D965" s="1" t="s">
        <v>24</v>
      </c>
      <c r="E965" s="1">
        <v>8.0</v>
      </c>
      <c r="F965" s="1">
        <v>201.465</v>
      </c>
    </row>
    <row r="966" ht="14.25" customHeight="1">
      <c r="A966" s="1">
        <v>202412.0</v>
      </c>
      <c r="B966" s="1" t="s">
        <v>75</v>
      </c>
      <c r="C966" s="1" t="s">
        <v>77</v>
      </c>
      <c r="D966" s="1" t="s">
        <v>25</v>
      </c>
      <c r="E966" s="1">
        <v>1198.0</v>
      </c>
      <c r="F966" s="1">
        <v>5242.74099</v>
      </c>
    </row>
    <row r="967" ht="14.25" customHeight="1">
      <c r="A967" s="1">
        <v>202412.0</v>
      </c>
      <c r="B967" s="1" t="s">
        <v>75</v>
      </c>
      <c r="C967" s="1" t="s">
        <v>77</v>
      </c>
      <c r="D967" s="1" t="s">
        <v>26</v>
      </c>
      <c r="E967" s="1">
        <v>1453.0</v>
      </c>
      <c r="F967" s="1">
        <v>4299.77515</v>
      </c>
    </row>
    <row r="968" ht="14.25" customHeight="1">
      <c r="A968" s="1">
        <v>202412.0</v>
      </c>
      <c r="B968" s="1" t="s">
        <v>75</v>
      </c>
      <c r="C968" s="1" t="s">
        <v>77</v>
      </c>
      <c r="D968" s="1" t="s">
        <v>27</v>
      </c>
      <c r="E968" s="1">
        <v>6.0</v>
      </c>
      <c r="F968" s="1">
        <v>437.4744</v>
      </c>
    </row>
    <row r="969" ht="14.25" customHeight="1">
      <c r="A969" s="1">
        <v>202412.0</v>
      </c>
      <c r="B969" s="1" t="s">
        <v>75</v>
      </c>
      <c r="C969" s="1" t="s">
        <v>77</v>
      </c>
      <c r="D969" s="1" t="s">
        <v>28</v>
      </c>
      <c r="E969" s="1">
        <v>19.0</v>
      </c>
      <c r="F969" s="1">
        <v>377.50394</v>
      </c>
    </row>
    <row r="970" ht="14.25" customHeight="1">
      <c r="A970" s="1">
        <v>202412.0</v>
      </c>
      <c r="B970" s="1" t="s">
        <v>75</v>
      </c>
      <c r="C970" s="1" t="s">
        <v>77</v>
      </c>
      <c r="D970" s="1" t="s">
        <v>29</v>
      </c>
      <c r="E970" s="1">
        <v>30947.0</v>
      </c>
      <c r="F970" s="1">
        <v>56727.93759</v>
      </c>
    </row>
    <row r="971" ht="14.25" customHeight="1">
      <c r="A971" s="1">
        <v>202412.0</v>
      </c>
      <c r="B971" s="1" t="s">
        <v>75</v>
      </c>
      <c r="C971" s="1" t="s">
        <v>77</v>
      </c>
      <c r="D971" s="1" t="s">
        <v>30</v>
      </c>
      <c r="E971" s="1">
        <v>4.0</v>
      </c>
      <c r="F971" s="1">
        <v>10670.0496</v>
      </c>
    </row>
    <row r="972" ht="14.25" customHeight="1">
      <c r="A972" s="1">
        <v>202412.0</v>
      </c>
      <c r="B972" s="1" t="s">
        <v>75</v>
      </c>
      <c r="C972" s="1" t="s">
        <v>77</v>
      </c>
      <c r="D972" s="1" t="s">
        <v>31</v>
      </c>
      <c r="E972" s="1">
        <v>845.0</v>
      </c>
      <c r="F972" s="1">
        <v>1719.98774</v>
      </c>
    </row>
    <row r="973" ht="14.25" customHeight="1">
      <c r="A973" s="1">
        <v>202412.0</v>
      </c>
      <c r="B973" s="1" t="s">
        <v>75</v>
      </c>
      <c r="C973" s="1" t="s">
        <v>77</v>
      </c>
      <c r="D973" s="1" t="s">
        <v>32</v>
      </c>
      <c r="E973" s="1">
        <v>22.0</v>
      </c>
      <c r="F973" s="1">
        <v>1768.8728</v>
      </c>
    </row>
    <row r="974" ht="14.25" customHeight="1">
      <c r="A974" s="1">
        <v>202412.0</v>
      </c>
      <c r="B974" s="1" t="s">
        <v>75</v>
      </c>
      <c r="C974" s="1" t="s">
        <v>77</v>
      </c>
      <c r="D974" s="1" t="s">
        <v>33</v>
      </c>
      <c r="E974" s="1">
        <v>6693.0</v>
      </c>
      <c r="F974" s="1">
        <v>55667.86341</v>
      </c>
    </row>
    <row r="975" ht="14.25" customHeight="1">
      <c r="A975" s="1">
        <v>202412.0</v>
      </c>
      <c r="B975" s="1" t="s">
        <v>75</v>
      </c>
      <c r="C975" s="1" t="s">
        <v>77</v>
      </c>
      <c r="D975" s="1" t="s">
        <v>34</v>
      </c>
      <c r="E975" s="1">
        <v>388.0</v>
      </c>
      <c r="F975" s="1">
        <v>8941.43405</v>
      </c>
    </row>
    <row r="976" ht="14.25" customHeight="1">
      <c r="A976" s="1">
        <v>202412.0</v>
      </c>
      <c r="B976" s="1" t="s">
        <v>75</v>
      </c>
      <c r="C976" s="1" t="s">
        <v>78</v>
      </c>
      <c r="D976" s="1" t="s">
        <v>9</v>
      </c>
      <c r="E976" s="1">
        <v>68.0</v>
      </c>
      <c r="F976" s="1">
        <v>1012.31249</v>
      </c>
    </row>
    <row r="977" ht="14.25" customHeight="1">
      <c r="A977" s="1">
        <v>202412.0</v>
      </c>
      <c r="B977" s="1" t="s">
        <v>75</v>
      </c>
      <c r="C977" s="1" t="s">
        <v>78</v>
      </c>
      <c r="D977" s="1" t="s">
        <v>10</v>
      </c>
      <c r="E977" s="1">
        <v>18888.0</v>
      </c>
      <c r="F977" s="1">
        <v>19016.46503</v>
      </c>
    </row>
    <row r="978" ht="14.25" customHeight="1">
      <c r="A978" s="1">
        <v>202412.0</v>
      </c>
      <c r="B978" s="1" t="s">
        <v>75</v>
      </c>
      <c r="C978" s="1" t="s">
        <v>78</v>
      </c>
      <c r="D978" s="1" t="s">
        <v>11</v>
      </c>
      <c r="E978" s="1">
        <v>15970.0</v>
      </c>
      <c r="F978" s="1">
        <v>10446.86259</v>
      </c>
    </row>
    <row r="979" ht="14.25" customHeight="1">
      <c r="A979" s="1">
        <v>202412.0</v>
      </c>
      <c r="B979" s="1" t="s">
        <v>75</v>
      </c>
      <c r="C979" s="1" t="s">
        <v>78</v>
      </c>
      <c r="D979" s="1" t="s">
        <v>12</v>
      </c>
      <c r="E979" s="1">
        <v>66.0</v>
      </c>
      <c r="F979" s="1">
        <v>745.65659</v>
      </c>
    </row>
    <row r="980" ht="14.25" customHeight="1">
      <c r="A980" s="1">
        <v>202412.0</v>
      </c>
      <c r="B980" s="1" t="s">
        <v>75</v>
      </c>
      <c r="C980" s="1" t="s">
        <v>78</v>
      </c>
      <c r="D980" s="1" t="s">
        <v>13</v>
      </c>
      <c r="E980" s="1">
        <v>181.0</v>
      </c>
      <c r="F980" s="1">
        <v>2736.03826</v>
      </c>
    </row>
    <row r="981" ht="14.25" customHeight="1">
      <c r="A981" s="1">
        <v>202412.0</v>
      </c>
      <c r="B981" s="1" t="s">
        <v>75</v>
      </c>
      <c r="C981" s="1" t="s">
        <v>78</v>
      </c>
      <c r="D981" s="1" t="s">
        <v>14</v>
      </c>
      <c r="E981" s="1">
        <v>346.0</v>
      </c>
      <c r="F981" s="1">
        <v>3740.26291</v>
      </c>
    </row>
    <row r="982" ht="14.25" customHeight="1">
      <c r="A982" s="1">
        <v>202412.0</v>
      </c>
      <c r="B982" s="1" t="s">
        <v>75</v>
      </c>
      <c r="C982" s="1" t="s">
        <v>78</v>
      </c>
      <c r="D982" s="1" t="s">
        <v>15</v>
      </c>
      <c r="E982" s="1">
        <v>27.0</v>
      </c>
      <c r="F982" s="1">
        <v>3904.6948</v>
      </c>
    </row>
    <row r="983" ht="14.25" customHeight="1">
      <c r="A983" s="1">
        <v>202412.0</v>
      </c>
      <c r="B983" s="1" t="s">
        <v>75</v>
      </c>
      <c r="C983" s="1" t="s">
        <v>78</v>
      </c>
      <c r="D983" s="1" t="s">
        <v>16</v>
      </c>
      <c r="E983" s="1">
        <v>4621.0</v>
      </c>
      <c r="F983" s="1">
        <v>12826.13685</v>
      </c>
    </row>
    <row r="984" ht="14.25" customHeight="1">
      <c r="A984" s="1">
        <v>202412.0</v>
      </c>
      <c r="B984" s="1" t="s">
        <v>75</v>
      </c>
      <c r="C984" s="1" t="s">
        <v>78</v>
      </c>
      <c r="D984" s="1" t="s">
        <v>17</v>
      </c>
      <c r="E984" s="1">
        <v>2048.0</v>
      </c>
      <c r="F984" s="1">
        <v>4170.25757</v>
      </c>
    </row>
    <row r="985" ht="14.25" customHeight="1">
      <c r="A985" s="1">
        <v>202412.0</v>
      </c>
      <c r="B985" s="1" t="s">
        <v>75</v>
      </c>
      <c r="C985" s="1" t="s">
        <v>78</v>
      </c>
      <c r="D985" s="1" t="s">
        <v>18</v>
      </c>
      <c r="E985" s="1">
        <v>6703.0</v>
      </c>
      <c r="F985" s="1">
        <v>9740.87717</v>
      </c>
    </row>
    <row r="986" ht="14.25" customHeight="1">
      <c r="A986" s="1">
        <v>202412.0</v>
      </c>
      <c r="B986" s="1" t="s">
        <v>75</v>
      </c>
      <c r="C986" s="1" t="s">
        <v>78</v>
      </c>
      <c r="D986" s="1" t="s">
        <v>19</v>
      </c>
      <c r="E986" s="1">
        <v>13.0</v>
      </c>
      <c r="F986" s="1">
        <v>254.5299</v>
      </c>
    </row>
    <row r="987" ht="14.25" customHeight="1">
      <c r="A987" s="1">
        <v>202412.0</v>
      </c>
      <c r="B987" s="1" t="s">
        <v>75</v>
      </c>
      <c r="C987" s="1" t="s">
        <v>78</v>
      </c>
      <c r="D987" s="1" t="s">
        <v>20</v>
      </c>
      <c r="E987" s="1">
        <v>160.0</v>
      </c>
      <c r="F987" s="1">
        <v>1300.88125</v>
      </c>
    </row>
    <row r="988" ht="14.25" customHeight="1">
      <c r="A988" s="1">
        <v>202412.0</v>
      </c>
      <c r="B988" s="1" t="s">
        <v>75</v>
      </c>
      <c r="C988" s="1" t="s">
        <v>78</v>
      </c>
      <c r="D988" s="1" t="s">
        <v>37</v>
      </c>
      <c r="E988" s="1">
        <v>2.0</v>
      </c>
      <c r="F988" s="1">
        <v>255.73386</v>
      </c>
    </row>
    <row r="989" ht="14.25" customHeight="1">
      <c r="A989" s="1">
        <v>202412.0</v>
      </c>
      <c r="B989" s="1" t="s">
        <v>75</v>
      </c>
      <c r="C989" s="1" t="s">
        <v>78</v>
      </c>
      <c r="D989" s="1" t="s">
        <v>21</v>
      </c>
      <c r="E989" s="1">
        <v>94.0</v>
      </c>
      <c r="F989" s="1">
        <v>2236.82292</v>
      </c>
    </row>
    <row r="990" ht="14.25" customHeight="1">
      <c r="A990" s="1">
        <v>202412.0</v>
      </c>
      <c r="B990" s="1" t="s">
        <v>75</v>
      </c>
      <c r="C990" s="1" t="s">
        <v>78</v>
      </c>
      <c r="D990" s="1" t="s">
        <v>23</v>
      </c>
      <c r="E990" s="1">
        <v>11802.0</v>
      </c>
      <c r="F990" s="1">
        <v>12117.36371</v>
      </c>
    </row>
    <row r="991" ht="14.25" customHeight="1">
      <c r="A991" s="1">
        <v>202412.0</v>
      </c>
      <c r="B991" s="1" t="s">
        <v>75</v>
      </c>
      <c r="C991" s="1" t="s">
        <v>78</v>
      </c>
      <c r="D991" s="1" t="s">
        <v>24</v>
      </c>
      <c r="E991" s="1">
        <v>19.0</v>
      </c>
      <c r="F991" s="1">
        <v>323.23176</v>
      </c>
    </row>
    <row r="992" ht="14.25" customHeight="1">
      <c r="A992" s="1">
        <v>202412.0</v>
      </c>
      <c r="B992" s="1" t="s">
        <v>75</v>
      </c>
      <c r="C992" s="1" t="s">
        <v>78</v>
      </c>
      <c r="D992" s="1" t="s">
        <v>25</v>
      </c>
      <c r="E992" s="1">
        <v>1142.0</v>
      </c>
      <c r="F992" s="1">
        <v>2839.28163</v>
      </c>
    </row>
    <row r="993" ht="14.25" customHeight="1">
      <c r="A993" s="1">
        <v>202412.0</v>
      </c>
      <c r="B993" s="1" t="s">
        <v>75</v>
      </c>
      <c r="C993" s="1" t="s">
        <v>78</v>
      </c>
      <c r="D993" s="1" t="s">
        <v>26</v>
      </c>
      <c r="E993" s="1">
        <v>1516.0</v>
      </c>
      <c r="F993" s="1">
        <v>2703.56632</v>
      </c>
    </row>
    <row r="994" ht="14.25" customHeight="1">
      <c r="A994" s="1">
        <v>202412.0</v>
      </c>
      <c r="B994" s="1" t="s">
        <v>75</v>
      </c>
      <c r="C994" s="1" t="s">
        <v>78</v>
      </c>
      <c r="D994" s="1" t="s">
        <v>27</v>
      </c>
      <c r="E994" s="1">
        <v>6.0</v>
      </c>
      <c r="F994" s="1">
        <v>735.89612</v>
      </c>
    </row>
    <row r="995" ht="14.25" customHeight="1">
      <c r="A995" s="1">
        <v>202412.0</v>
      </c>
      <c r="B995" s="1" t="s">
        <v>75</v>
      </c>
      <c r="C995" s="1" t="s">
        <v>78</v>
      </c>
      <c r="D995" s="1" t="s">
        <v>28</v>
      </c>
      <c r="E995" s="1">
        <v>20.0</v>
      </c>
      <c r="F995" s="1">
        <v>293.02329</v>
      </c>
    </row>
    <row r="996" ht="14.25" customHeight="1">
      <c r="A996" s="1">
        <v>202412.0</v>
      </c>
      <c r="B996" s="1" t="s">
        <v>75</v>
      </c>
      <c r="C996" s="1" t="s">
        <v>78</v>
      </c>
      <c r="D996" s="1" t="s">
        <v>29</v>
      </c>
      <c r="E996" s="1">
        <v>23574.0</v>
      </c>
      <c r="F996" s="1">
        <v>50084.81167</v>
      </c>
    </row>
    <row r="997" ht="14.25" customHeight="1">
      <c r="A997" s="1">
        <v>202412.0</v>
      </c>
      <c r="B997" s="1" t="s">
        <v>75</v>
      </c>
      <c r="C997" s="1" t="s">
        <v>78</v>
      </c>
      <c r="D997" s="1" t="s">
        <v>30</v>
      </c>
      <c r="E997" s="1">
        <v>4.0</v>
      </c>
      <c r="F997" s="1">
        <v>7921.51696</v>
      </c>
    </row>
    <row r="998" ht="14.25" customHeight="1">
      <c r="A998" s="1">
        <v>202412.0</v>
      </c>
      <c r="B998" s="1" t="s">
        <v>75</v>
      </c>
      <c r="C998" s="1" t="s">
        <v>78</v>
      </c>
      <c r="D998" s="1" t="s">
        <v>31</v>
      </c>
      <c r="E998" s="1">
        <v>1517.0</v>
      </c>
      <c r="F998" s="1">
        <v>3037.25278</v>
      </c>
    </row>
    <row r="999" ht="14.25" customHeight="1">
      <c r="A999" s="1">
        <v>202412.0</v>
      </c>
      <c r="B999" s="1" t="s">
        <v>75</v>
      </c>
      <c r="C999" s="1" t="s">
        <v>78</v>
      </c>
      <c r="D999" s="1" t="s">
        <v>32</v>
      </c>
      <c r="E999" s="1">
        <v>10.0</v>
      </c>
      <c r="F999" s="1">
        <v>3206.78487</v>
      </c>
    </row>
    <row r="1000" ht="14.25" customHeight="1">
      <c r="A1000" s="1">
        <v>202412.0</v>
      </c>
      <c r="B1000" s="1" t="s">
        <v>75</v>
      </c>
      <c r="C1000" s="1" t="s">
        <v>78</v>
      </c>
      <c r="D1000" s="1" t="s">
        <v>33</v>
      </c>
      <c r="E1000" s="1">
        <v>7917.0</v>
      </c>
      <c r="F1000" s="1">
        <v>58823.63689</v>
      </c>
    </row>
    <row r="1001" ht="14.25" customHeight="1">
      <c r="A1001" s="1">
        <v>202412.0</v>
      </c>
      <c r="B1001" s="1" t="s">
        <v>75</v>
      </c>
      <c r="C1001" s="1" t="s">
        <v>78</v>
      </c>
      <c r="D1001" s="1" t="s">
        <v>34</v>
      </c>
      <c r="E1001" s="1">
        <v>338.0</v>
      </c>
      <c r="F1001" s="1">
        <v>8448.30175</v>
      </c>
    </row>
    <row r="1002" ht="14.25" customHeight="1">
      <c r="A1002" s="1">
        <v>202412.0</v>
      </c>
      <c r="B1002" s="1" t="s">
        <v>75</v>
      </c>
      <c r="C1002" s="1" t="s">
        <v>79</v>
      </c>
      <c r="D1002" s="1" t="s">
        <v>9</v>
      </c>
      <c r="E1002" s="1">
        <v>51.0</v>
      </c>
      <c r="F1002" s="1">
        <v>794.35567</v>
      </c>
    </row>
    <row r="1003" ht="14.25" customHeight="1">
      <c r="A1003" s="1">
        <v>202412.0</v>
      </c>
      <c r="B1003" s="1" t="s">
        <v>75</v>
      </c>
      <c r="C1003" s="1" t="s">
        <v>79</v>
      </c>
      <c r="D1003" s="1" t="s">
        <v>10</v>
      </c>
      <c r="E1003" s="1">
        <v>34906.0</v>
      </c>
      <c r="F1003" s="1">
        <v>38034.41517</v>
      </c>
    </row>
    <row r="1004" ht="14.25" customHeight="1">
      <c r="A1004" s="1">
        <v>202412.0</v>
      </c>
      <c r="B1004" s="1" t="s">
        <v>75</v>
      </c>
      <c r="C1004" s="1" t="s">
        <v>79</v>
      </c>
      <c r="D1004" s="1" t="s">
        <v>11</v>
      </c>
      <c r="E1004" s="1">
        <v>27894.0</v>
      </c>
      <c r="F1004" s="1">
        <v>20914.70113</v>
      </c>
    </row>
    <row r="1005" ht="14.25" customHeight="1">
      <c r="A1005" s="1">
        <v>202412.0</v>
      </c>
      <c r="B1005" s="1" t="s">
        <v>75</v>
      </c>
      <c r="C1005" s="1" t="s">
        <v>79</v>
      </c>
      <c r="D1005" s="1" t="s">
        <v>12</v>
      </c>
      <c r="E1005" s="1">
        <v>145.0</v>
      </c>
      <c r="F1005" s="1">
        <v>1812.6154</v>
      </c>
    </row>
    <row r="1006" ht="14.25" customHeight="1">
      <c r="A1006" s="1">
        <v>202412.0</v>
      </c>
      <c r="B1006" s="1" t="s">
        <v>75</v>
      </c>
      <c r="C1006" s="1" t="s">
        <v>79</v>
      </c>
      <c r="D1006" s="1" t="s">
        <v>13</v>
      </c>
      <c r="E1006" s="1">
        <v>408.0</v>
      </c>
      <c r="F1006" s="1">
        <v>5155.98279</v>
      </c>
    </row>
    <row r="1007" ht="14.25" customHeight="1">
      <c r="A1007" s="1">
        <v>202412.0</v>
      </c>
      <c r="B1007" s="1" t="s">
        <v>75</v>
      </c>
      <c r="C1007" s="1" t="s">
        <v>79</v>
      </c>
      <c r="D1007" s="1" t="s">
        <v>14</v>
      </c>
      <c r="E1007" s="1">
        <v>634.0</v>
      </c>
      <c r="F1007" s="1">
        <v>6589.56852</v>
      </c>
    </row>
    <row r="1008" ht="14.25" customHeight="1">
      <c r="A1008" s="1">
        <v>202412.0</v>
      </c>
      <c r="B1008" s="1" t="s">
        <v>75</v>
      </c>
      <c r="C1008" s="1" t="s">
        <v>79</v>
      </c>
      <c r="D1008" s="1" t="s">
        <v>15</v>
      </c>
      <c r="E1008" s="1">
        <v>22.0</v>
      </c>
      <c r="F1008" s="1">
        <v>4509.91337</v>
      </c>
    </row>
    <row r="1009" ht="14.25" customHeight="1">
      <c r="A1009" s="1">
        <v>202412.0</v>
      </c>
      <c r="B1009" s="1" t="s">
        <v>75</v>
      </c>
      <c r="C1009" s="1" t="s">
        <v>79</v>
      </c>
      <c r="D1009" s="1" t="s">
        <v>16</v>
      </c>
      <c r="E1009" s="1">
        <v>8572.0</v>
      </c>
      <c r="F1009" s="1">
        <v>26396.31561</v>
      </c>
    </row>
    <row r="1010" ht="14.25" customHeight="1">
      <c r="A1010" s="1">
        <v>202412.0</v>
      </c>
      <c r="B1010" s="1" t="s">
        <v>75</v>
      </c>
      <c r="C1010" s="1" t="s">
        <v>79</v>
      </c>
      <c r="D1010" s="1" t="s">
        <v>17</v>
      </c>
      <c r="E1010" s="1">
        <v>2603.0</v>
      </c>
      <c r="F1010" s="1">
        <v>5708.1739</v>
      </c>
    </row>
    <row r="1011" ht="14.25" customHeight="1">
      <c r="A1011" s="1">
        <v>202412.0</v>
      </c>
      <c r="B1011" s="1" t="s">
        <v>75</v>
      </c>
      <c r="C1011" s="1" t="s">
        <v>79</v>
      </c>
      <c r="D1011" s="1" t="s">
        <v>18</v>
      </c>
      <c r="E1011" s="1">
        <v>14202.0</v>
      </c>
      <c r="F1011" s="1">
        <v>24177.96658</v>
      </c>
    </row>
    <row r="1012" ht="14.25" customHeight="1">
      <c r="A1012" s="1">
        <v>202412.0</v>
      </c>
      <c r="B1012" s="1" t="s">
        <v>75</v>
      </c>
      <c r="C1012" s="1" t="s">
        <v>79</v>
      </c>
      <c r="D1012" s="1" t="s">
        <v>19</v>
      </c>
      <c r="E1012" s="1">
        <v>31.0</v>
      </c>
      <c r="F1012" s="1">
        <v>734.42697</v>
      </c>
    </row>
    <row r="1013" ht="14.25" customHeight="1">
      <c r="A1013" s="1">
        <v>202412.0</v>
      </c>
      <c r="B1013" s="1" t="s">
        <v>75</v>
      </c>
      <c r="C1013" s="1" t="s">
        <v>79</v>
      </c>
      <c r="D1013" s="1" t="s">
        <v>20</v>
      </c>
      <c r="E1013" s="1">
        <v>481.0</v>
      </c>
      <c r="F1013" s="1">
        <v>1346.62592</v>
      </c>
    </row>
    <row r="1014" ht="14.25" customHeight="1">
      <c r="A1014" s="1">
        <v>202412.0</v>
      </c>
      <c r="B1014" s="1" t="s">
        <v>75</v>
      </c>
      <c r="C1014" s="1" t="s">
        <v>79</v>
      </c>
      <c r="D1014" s="1" t="s">
        <v>37</v>
      </c>
      <c r="E1014" s="1">
        <v>2.0</v>
      </c>
      <c r="F1014" s="1">
        <v>1007.1148</v>
      </c>
    </row>
    <row r="1015" ht="14.25" customHeight="1">
      <c r="A1015" s="1">
        <v>202412.0</v>
      </c>
      <c r="B1015" s="1" t="s">
        <v>75</v>
      </c>
      <c r="C1015" s="1" t="s">
        <v>79</v>
      </c>
      <c r="D1015" s="1" t="s">
        <v>21</v>
      </c>
      <c r="E1015" s="1">
        <v>343.0</v>
      </c>
      <c r="F1015" s="1">
        <v>10487.45576</v>
      </c>
    </row>
    <row r="1016" ht="14.25" customHeight="1">
      <c r="A1016" s="1">
        <v>202412.0</v>
      </c>
      <c r="B1016" s="1" t="s">
        <v>75</v>
      </c>
      <c r="C1016" s="1" t="s">
        <v>79</v>
      </c>
      <c r="D1016" s="1" t="s">
        <v>22</v>
      </c>
      <c r="E1016" s="1">
        <v>5.0</v>
      </c>
      <c r="F1016" s="1">
        <v>288.23904</v>
      </c>
    </row>
    <row r="1017" ht="14.25" customHeight="1">
      <c r="A1017" s="1">
        <v>202412.0</v>
      </c>
      <c r="B1017" s="1" t="s">
        <v>75</v>
      </c>
      <c r="C1017" s="1" t="s">
        <v>79</v>
      </c>
      <c r="D1017" s="1" t="s">
        <v>23</v>
      </c>
      <c r="E1017" s="1">
        <v>26798.0</v>
      </c>
      <c r="F1017" s="1">
        <v>27403.36925</v>
      </c>
    </row>
    <row r="1018" ht="14.25" customHeight="1">
      <c r="A1018" s="1">
        <v>202412.0</v>
      </c>
      <c r="B1018" s="1" t="s">
        <v>75</v>
      </c>
      <c r="C1018" s="1" t="s">
        <v>79</v>
      </c>
      <c r="D1018" s="1" t="s">
        <v>24</v>
      </c>
      <c r="E1018" s="1">
        <v>21.0</v>
      </c>
      <c r="F1018" s="1">
        <v>262.97454</v>
      </c>
    </row>
    <row r="1019" ht="14.25" customHeight="1">
      <c r="A1019" s="1">
        <v>202412.0</v>
      </c>
      <c r="B1019" s="1" t="s">
        <v>75</v>
      </c>
      <c r="C1019" s="1" t="s">
        <v>79</v>
      </c>
      <c r="D1019" s="1" t="s">
        <v>25</v>
      </c>
      <c r="E1019" s="1">
        <v>1498.0</v>
      </c>
      <c r="F1019" s="1">
        <v>5771.57028</v>
      </c>
    </row>
    <row r="1020" ht="14.25" customHeight="1">
      <c r="A1020" s="1">
        <v>202412.0</v>
      </c>
      <c r="B1020" s="1" t="s">
        <v>75</v>
      </c>
      <c r="C1020" s="1" t="s">
        <v>79</v>
      </c>
      <c r="D1020" s="1" t="s">
        <v>26</v>
      </c>
      <c r="E1020" s="1">
        <v>1828.0</v>
      </c>
      <c r="F1020" s="1">
        <v>4033.87235</v>
      </c>
    </row>
    <row r="1021" ht="14.25" customHeight="1">
      <c r="A1021" s="1">
        <v>202412.0</v>
      </c>
      <c r="B1021" s="1" t="s">
        <v>75</v>
      </c>
      <c r="C1021" s="1" t="s">
        <v>79</v>
      </c>
      <c r="D1021" s="1" t="s">
        <v>27</v>
      </c>
      <c r="E1021" s="1">
        <v>12.0</v>
      </c>
      <c r="F1021" s="1">
        <v>1571.79587</v>
      </c>
    </row>
    <row r="1022" ht="14.25" customHeight="1">
      <c r="A1022" s="1">
        <v>202412.0</v>
      </c>
      <c r="B1022" s="1" t="s">
        <v>75</v>
      </c>
      <c r="C1022" s="1" t="s">
        <v>79</v>
      </c>
      <c r="D1022" s="1" t="s">
        <v>28</v>
      </c>
      <c r="E1022" s="1">
        <v>37.0</v>
      </c>
      <c r="F1022" s="1">
        <v>686.02985</v>
      </c>
    </row>
    <row r="1023" ht="14.25" customHeight="1">
      <c r="A1023" s="1">
        <v>202412.0</v>
      </c>
      <c r="B1023" s="1" t="s">
        <v>75</v>
      </c>
      <c r="C1023" s="1" t="s">
        <v>79</v>
      </c>
      <c r="D1023" s="1" t="s">
        <v>29</v>
      </c>
      <c r="E1023" s="1">
        <v>44211.0</v>
      </c>
      <c r="F1023" s="1">
        <v>69808.54819</v>
      </c>
    </row>
    <row r="1024" ht="14.25" customHeight="1">
      <c r="A1024" s="1">
        <v>202412.0</v>
      </c>
      <c r="B1024" s="1" t="s">
        <v>75</v>
      </c>
      <c r="C1024" s="1" t="s">
        <v>79</v>
      </c>
      <c r="D1024" s="1" t="s">
        <v>30</v>
      </c>
      <c r="E1024" s="1">
        <v>3.0</v>
      </c>
      <c r="F1024" s="1">
        <v>3152.6372</v>
      </c>
    </row>
    <row r="1025" ht="14.25" customHeight="1">
      <c r="A1025" s="1">
        <v>202412.0</v>
      </c>
      <c r="B1025" s="1" t="s">
        <v>75</v>
      </c>
      <c r="C1025" s="1" t="s">
        <v>79</v>
      </c>
      <c r="D1025" s="1" t="s">
        <v>31</v>
      </c>
      <c r="E1025" s="1">
        <v>1887.0</v>
      </c>
      <c r="F1025" s="1">
        <v>5748.25893</v>
      </c>
    </row>
    <row r="1026" ht="14.25" customHeight="1">
      <c r="A1026" s="1">
        <v>202412.0</v>
      </c>
      <c r="B1026" s="1" t="s">
        <v>75</v>
      </c>
      <c r="C1026" s="1" t="s">
        <v>79</v>
      </c>
      <c r="D1026" s="1" t="s">
        <v>32</v>
      </c>
      <c r="E1026" s="1">
        <v>45.0</v>
      </c>
      <c r="F1026" s="1">
        <v>8611.46237</v>
      </c>
    </row>
    <row r="1027" ht="14.25" customHeight="1">
      <c r="A1027" s="1">
        <v>202412.0</v>
      </c>
      <c r="B1027" s="1" t="s">
        <v>75</v>
      </c>
      <c r="C1027" s="1" t="s">
        <v>79</v>
      </c>
      <c r="D1027" s="1" t="s">
        <v>33</v>
      </c>
      <c r="E1027" s="1">
        <v>13548.0</v>
      </c>
      <c r="F1027" s="1">
        <v>106041.9579</v>
      </c>
    </row>
    <row r="1028" ht="14.25" customHeight="1">
      <c r="A1028" s="1">
        <v>202412.0</v>
      </c>
      <c r="B1028" s="1" t="s">
        <v>75</v>
      </c>
      <c r="C1028" s="1" t="s">
        <v>79</v>
      </c>
      <c r="D1028" s="1" t="s">
        <v>34</v>
      </c>
      <c r="E1028" s="1">
        <v>400.0</v>
      </c>
      <c r="F1028" s="1">
        <v>9944.0283</v>
      </c>
    </row>
    <row r="1029" ht="14.25" customHeight="1">
      <c r="A1029" s="1">
        <v>202412.0</v>
      </c>
      <c r="B1029" s="1" t="s">
        <v>75</v>
      </c>
      <c r="C1029" s="1" t="s">
        <v>80</v>
      </c>
      <c r="D1029" s="1" t="s">
        <v>9</v>
      </c>
      <c r="E1029" s="1">
        <v>23.0</v>
      </c>
      <c r="F1029" s="1">
        <v>235.72936</v>
      </c>
    </row>
    <row r="1030" ht="14.25" customHeight="1">
      <c r="A1030" s="1">
        <v>202412.0</v>
      </c>
      <c r="B1030" s="1" t="s">
        <v>75</v>
      </c>
      <c r="C1030" s="1" t="s">
        <v>80</v>
      </c>
      <c r="D1030" s="1" t="s">
        <v>10</v>
      </c>
      <c r="E1030" s="1">
        <v>22028.0</v>
      </c>
      <c r="F1030" s="1">
        <v>24280.2548</v>
      </c>
    </row>
    <row r="1031" ht="14.25" customHeight="1">
      <c r="A1031" s="1">
        <v>202412.0</v>
      </c>
      <c r="B1031" s="1" t="s">
        <v>75</v>
      </c>
      <c r="C1031" s="1" t="s">
        <v>80</v>
      </c>
      <c r="D1031" s="1" t="s">
        <v>11</v>
      </c>
      <c r="E1031" s="1">
        <v>16018.0</v>
      </c>
      <c r="F1031" s="1">
        <v>12108.23902</v>
      </c>
    </row>
    <row r="1032" ht="14.25" customHeight="1">
      <c r="A1032" s="1">
        <v>202412.0</v>
      </c>
      <c r="B1032" s="1" t="s">
        <v>75</v>
      </c>
      <c r="C1032" s="1" t="s">
        <v>80</v>
      </c>
      <c r="D1032" s="1" t="s">
        <v>12</v>
      </c>
      <c r="E1032" s="1">
        <v>115.0</v>
      </c>
      <c r="F1032" s="1">
        <v>1410.29136</v>
      </c>
    </row>
    <row r="1033" ht="14.25" customHeight="1">
      <c r="A1033" s="1">
        <v>202412.0</v>
      </c>
      <c r="B1033" s="1" t="s">
        <v>75</v>
      </c>
      <c r="C1033" s="1" t="s">
        <v>80</v>
      </c>
      <c r="D1033" s="1" t="s">
        <v>13</v>
      </c>
      <c r="E1033" s="1">
        <v>264.0</v>
      </c>
      <c r="F1033" s="1">
        <v>3902.9693</v>
      </c>
    </row>
    <row r="1034" ht="14.25" customHeight="1">
      <c r="A1034" s="1">
        <v>202412.0</v>
      </c>
      <c r="B1034" s="1" t="s">
        <v>75</v>
      </c>
      <c r="C1034" s="1" t="s">
        <v>80</v>
      </c>
      <c r="D1034" s="1" t="s">
        <v>14</v>
      </c>
      <c r="E1034" s="1">
        <v>407.0</v>
      </c>
      <c r="F1034" s="1">
        <v>5178.65602</v>
      </c>
    </row>
    <row r="1035" ht="14.25" customHeight="1">
      <c r="A1035" s="1">
        <v>202412.0</v>
      </c>
      <c r="B1035" s="1" t="s">
        <v>75</v>
      </c>
      <c r="C1035" s="1" t="s">
        <v>80</v>
      </c>
      <c r="D1035" s="1" t="s">
        <v>15</v>
      </c>
      <c r="E1035" s="1">
        <v>12.0</v>
      </c>
      <c r="F1035" s="1">
        <v>731.0988</v>
      </c>
    </row>
    <row r="1036" ht="14.25" customHeight="1">
      <c r="A1036" s="1">
        <v>202412.0</v>
      </c>
      <c r="B1036" s="1" t="s">
        <v>75</v>
      </c>
      <c r="C1036" s="1" t="s">
        <v>80</v>
      </c>
      <c r="D1036" s="1" t="s">
        <v>16</v>
      </c>
      <c r="E1036" s="1">
        <v>5149.0</v>
      </c>
      <c r="F1036" s="1">
        <v>15654.13776</v>
      </c>
    </row>
    <row r="1037" ht="14.25" customHeight="1">
      <c r="A1037" s="1">
        <v>202412.0</v>
      </c>
      <c r="B1037" s="1" t="s">
        <v>75</v>
      </c>
      <c r="C1037" s="1" t="s">
        <v>80</v>
      </c>
      <c r="D1037" s="1" t="s">
        <v>17</v>
      </c>
      <c r="E1037" s="1">
        <v>2672.0</v>
      </c>
      <c r="F1037" s="1">
        <v>5787.93986</v>
      </c>
    </row>
    <row r="1038" ht="14.25" customHeight="1">
      <c r="A1038" s="1">
        <v>202412.0</v>
      </c>
      <c r="B1038" s="1" t="s">
        <v>75</v>
      </c>
      <c r="C1038" s="1" t="s">
        <v>80</v>
      </c>
      <c r="D1038" s="1" t="s">
        <v>18</v>
      </c>
      <c r="E1038" s="1">
        <v>7726.0</v>
      </c>
      <c r="F1038" s="1">
        <v>12847.94922</v>
      </c>
    </row>
    <row r="1039" ht="14.25" customHeight="1">
      <c r="A1039" s="1">
        <v>202412.0</v>
      </c>
      <c r="B1039" s="1" t="s">
        <v>75</v>
      </c>
      <c r="C1039" s="1" t="s">
        <v>80</v>
      </c>
      <c r="D1039" s="1" t="s">
        <v>19</v>
      </c>
      <c r="E1039" s="1">
        <v>12.0</v>
      </c>
      <c r="F1039" s="1">
        <v>256.26799</v>
      </c>
    </row>
    <row r="1040" ht="14.25" customHeight="1">
      <c r="A1040" s="1">
        <v>202412.0</v>
      </c>
      <c r="B1040" s="1" t="s">
        <v>75</v>
      </c>
      <c r="C1040" s="1" t="s">
        <v>80</v>
      </c>
      <c r="D1040" s="1" t="s">
        <v>20</v>
      </c>
      <c r="E1040" s="1">
        <v>66.0</v>
      </c>
      <c r="F1040" s="1">
        <v>207.69556</v>
      </c>
    </row>
    <row r="1041" ht="14.25" customHeight="1">
      <c r="A1041" s="1">
        <v>202412.0</v>
      </c>
      <c r="B1041" s="1" t="s">
        <v>75</v>
      </c>
      <c r="C1041" s="1" t="s">
        <v>80</v>
      </c>
      <c r="D1041" s="1" t="s">
        <v>37</v>
      </c>
      <c r="E1041" s="1">
        <v>7.0</v>
      </c>
      <c r="F1041" s="1">
        <v>1838.72937</v>
      </c>
    </row>
    <row r="1042" ht="14.25" customHeight="1">
      <c r="A1042" s="1">
        <v>202412.0</v>
      </c>
      <c r="B1042" s="1" t="s">
        <v>75</v>
      </c>
      <c r="C1042" s="1" t="s">
        <v>80</v>
      </c>
      <c r="D1042" s="1" t="s">
        <v>21</v>
      </c>
      <c r="E1042" s="1">
        <v>122.0</v>
      </c>
      <c r="F1042" s="1">
        <v>3762.88648</v>
      </c>
    </row>
    <row r="1043" ht="14.25" customHeight="1">
      <c r="A1043" s="1">
        <v>202412.0</v>
      </c>
      <c r="B1043" s="1" t="s">
        <v>75</v>
      </c>
      <c r="C1043" s="1" t="s">
        <v>80</v>
      </c>
      <c r="D1043" s="1" t="s">
        <v>23</v>
      </c>
      <c r="E1043" s="1">
        <v>13842.0</v>
      </c>
      <c r="F1043" s="1">
        <v>14518.53043</v>
      </c>
    </row>
    <row r="1044" ht="14.25" customHeight="1">
      <c r="A1044" s="1">
        <v>202412.0</v>
      </c>
      <c r="B1044" s="1" t="s">
        <v>75</v>
      </c>
      <c r="C1044" s="1" t="s">
        <v>80</v>
      </c>
      <c r="D1044" s="1" t="s">
        <v>24</v>
      </c>
      <c r="E1044" s="1">
        <v>7.0</v>
      </c>
      <c r="F1044" s="1">
        <v>155.81991</v>
      </c>
    </row>
    <row r="1045" ht="14.25" customHeight="1">
      <c r="A1045" s="1">
        <v>202412.0</v>
      </c>
      <c r="B1045" s="1" t="s">
        <v>75</v>
      </c>
      <c r="C1045" s="1" t="s">
        <v>80</v>
      </c>
      <c r="D1045" s="1" t="s">
        <v>25</v>
      </c>
      <c r="E1045" s="1">
        <v>330.0</v>
      </c>
      <c r="F1045" s="1">
        <v>1823.73695</v>
      </c>
    </row>
    <row r="1046" ht="14.25" customHeight="1">
      <c r="A1046" s="1">
        <v>202412.0</v>
      </c>
      <c r="B1046" s="1" t="s">
        <v>75</v>
      </c>
      <c r="C1046" s="1" t="s">
        <v>80</v>
      </c>
      <c r="D1046" s="1" t="s">
        <v>26</v>
      </c>
      <c r="E1046" s="1">
        <v>1612.0</v>
      </c>
      <c r="F1046" s="1">
        <v>4077.94807</v>
      </c>
    </row>
    <row r="1047" ht="14.25" customHeight="1">
      <c r="A1047" s="1">
        <v>202412.0</v>
      </c>
      <c r="B1047" s="1" t="s">
        <v>75</v>
      </c>
      <c r="C1047" s="1" t="s">
        <v>80</v>
      </c>
      <c r="D1047" s="1" t="s">
        <v>28</v>
      </c>
      <c r="E1047" s="1">
        <v>21.0</v>
      </c>
      <c r="F1047" s="1">
        <v>214.71107</v>
      </c>
    </row>
    <row r="1048" ht="14.25" customHeight="1">
      <c r="A1048" s="1">
        <v>202412.0</v>
      </c>
      <c r="B1048" s="1" t="s">
        <v>75</v>
      </c>
      <c r="C1048" s="1" t="s">
        <v>80</v>
      </c>
      <c r="D1048" s="1" t="s">
        <v>29</v>
      </c>
      <c r="E1048" s="1">
        <v>25904.0</v>
      </c>
      <c r="F1048" s="1">
        <v>42621.21568</v>
      </c>
    </row>
    <row r="1049" ht="14.25" customHeight="1">
      <c r="A1049" s="1">
        <v>202412.0</v>
      </c>
      <c r="B1049" s="1" t="s">
        <v>75</v>
      </c>
      <c r="C1049" s="1" t="s">
        <v>80</v>
      </c>
      <c r="D1049" s="1" t="s">
        <v>30</v>
      </c>
      <c r="E1049" s="1">
        <v>6.0</v>
      </c>
      <c r="F1049" s="1">
        <v>10670.0744</v>
      </c>
    </row>
    <row r="1050" ht="14.25" customHeight="1">
      <c r="A1050" s="1">
        <v>202412.0</v>
      </c>
      <c r="B1050" s="1" t="s">
        <v>75</v>
      </c>
      <c r="C1050" s="1" t="s">
        <v>80</v>
      </c>
      <c r="D1050" s="1" t="s">
        <v>31</v>
      </c>
      <c r="E1050" s="1">
        <v>2316.0</v>
      </c>
      <c r="F1050" s="1">
        <v>7557.19547</v>
      </c>
    </row>
    <row r="1051" ht="14.25" customHeight="1">
      <c r="A1051" s="1">
        <v>202412.0</v>
      </c>
      <c r="B1051" s="1" t="s">
        <v>75</v>
      </c>
      <c r="C1051" s="1" t="s">
        <v>80</v>
      </c>
      <c r="D1051" s="1" t="s">
        <v>32</v>
      </c>
      <c r="E1051" s="1">
        <v>7.0</v>
      </c>
      <c r="F1051" s="1">
        <v>2648.2668</v>
      </c>
    </row>
    <row r="1052" ht="14.25" customHeight="1">
      <c r="A1052" s="1">
        <v>202412.0</v>
      </c>
      <c r="B1052" s="1" t="s">
        <v>75</v>
      </c>
      <c r="C1052" s="1" t="s">
        <v>80</v>
      </c>
      <c r="D1052" s="1" t="s">
        <v>33</v>
      </c>
      <c r="E1052" s="1">
        <v>8361.0</v>
      </c>
      <c r="F1052" s="1">
        <v>74098.97529</v>
      </c>
    </row>
    <row r="1053" ht="14.25" customHeight="1">
      <c r="A1053" s="1">
        <v>202412.0</v>
      </c>
      <c r="B1053" s="1" t="s">
        <v>75</v>
      </c>
      <c r="C1053" s="1" t="s">
        <v>80</v>
      </c>
      <c r="D1053" s="1" t="s">
        <v>34</v>
      </c>
      <c r="E1053" s="1">
        <v>230.0</v>
      </c>
      <c r="F1053" s="1">
        <v>5394.84031</v>
      </c>
    </row>
    <row r="1054" ht="14.25" customHeight="1">
      <c r="A1054" s="1">
        <v>202412.0</v>
      </c>
      <c r="B1054" s="1" t="s">
        <v>75</v>
      </c>
      <c r="C1054" s="1" t="s">
        <v>81</v>
      </c>
      <c r="D1054" s="1" t="s">
        <v>9</v>
      </c>
      <c r="E1054" s="1">
        <v>11.0</v>
      </c>
      <c r="F1054" s="1">
        <v>276.00156</v>
      </c>
    </row>
    <row r="1055" ht="14.25" customHeight="1">
      <c r="A1055" s="1">
        <v>202412.0</v>
      </c>
      <c r="B1055" s="1" t="s">
        <v>75</v>
      </c>
      <c r="C1055" s="1" t="s">
        <v>81</v>
      </c>
      <c r="D1055" s="1" t="s">
        <v>10</v>
      </c>
      <c r="E1055" s="1">
        <v>17637.0</v>
      </c>
      <c r="F1055" s="1">
        <v>17276.81047</v>
      </c>
    </row>
    <row r="1056" ht="14.25" customHeight="1">
      <c r="A1056" s="1">
        <v>202412.0</v>
      </c>
      <c r="B1056" s="1" t="s">
        <v>75</v>
      </c>
      <c r="C1056" s="1" t="s">
        <v>81</v>
      </c>
      <c r="D1056" s="1" t="s">
        <v>11</v>
      </c>
      <c r="E1056" s="1">
        <v>14393.0</v>
      </c>
      <c r="F1056" s="1">
        <v>10144.25966</v>
      </c>
    </row>
    <row r="1057" ht="14.25" customHeight="1">
      <c r="A1057" s="1">
        <v>202412.0</v>
      </c>
      <c r="B1057" s="1" t="s">
        <v>75</v>
      </c>
      <c r="C1057" s="1" t="s">
        <v>81</v>
      </c>
      <c r="D1057" s="1" t="s">
        <v>12</v>
      </c>
      <c r="E1057" s="1">
        <v>77.0</v>
      </c>
      <c r="F1057" s="1">
        <v>964.62081</v>
      </c>
    </row>
    <row r="1058" ht="14.25" customHeight="1">
      <c r="A1058" s="1">
        <v>202412.0</v>
      </c>
      <c r="B1058" s="1" t="s">
        <v>75</v>
      </c>
      <c r="C1058" s="1" t="s">
        <v>81</v>
      </c>
      <c r="D1058" s="1" t="s">
        <v>13</v>
      </c>
      <c r="E1058" s="1">
        <v>290.0</v>
      </c>
      <c r="F1058" s="1">
        <v>3711.61826</v>
      </c>
    </row>
    <row r="1059" ht="14.25" customHeight="1">
      <c r="A1059" s="1">
        <v>202412.0</v>
      </c>
      <c r="B1059" s="1" t="s">
        <v>75</v>
      </c>
      <c r="C1059" s="1" t="s">
        <v>81</v>
      </c>
      <c r="D1059" s="1" t="s">
        <v>14</v>
      </c>
      <c r="E1059" s="1">
        <v>341.0</v>
      </c>
      <c r="F1059" s="1">
        <v>3617.23</v>
      </c>
    </row>
    <row r="1060" ht="14.25" customHeight="1">
      <c r="A1060" s="1">
        <v>202412.0</v>
      </c>
      <c r="B1060" s="1" t="s">
        <v>75</v>
      </c>
      <c r="C1060" s="1" t="s">
        <v>81</v>
      </c>
      <c r="D1060" s="1" t="s">
        <v>15</v>
      </c>
      <c r="E1060" s="1">
        <v>8.0</v>
      </c>
      <c r="F1060" s="1">
        <v>1025.0792</v>
      </c>
    </row>
    <row r="1061" ht="14.25" customHeight="1">
      <c r="A1061" s="1">
        <v>202412.0</v>
      </c>
      <c r="B1061" s="1" t="s">
        <v>75</v>
      </c>
      <c r="C1061" s="1" t="s">
        <v>81</v>
      </c>
      <c r="D1061" s="1" t="s">
        <v>16</v>
      </c>
      <c r="E1061" s="1">
        <v>5926.0</v>
      </c>
      <c r="F1061" s="1">
        <v>15479.55806</v>
      </c>
    </row>
    <row r="1062" ht="14.25" customHeight="1">
      <c r="A1062" s="1">
        <v>202412.0</v>
      </c>
      <c r="B1062" s="1" t="s">
        <v>75</v>
      </c>
      <c r="C1062" s="1" t="s">
        <v>81</v>
      </c>
      <c r="D1062" s="1" t="s">
        <v>17</v>
      </c>
      <c r="E1062" s="1">
        <v>2650.0</v>
      </c>
      <c r="F1062" s="1">
        <v>5467.24604</v>
      </c>
    </row>
    <row r="1063" ht="14.25" customHeight="1">
      <c r="A1063" s="1">
        <v>202412.0</v>
      </c>
      <c r="B1063" s="1" t="s">
        <v>75</v>
      </c>
      <c r="C1063" s="1" t="s">
        <v>81</v>
      </c>
      <c r="D1063" s="1" t="s">
        <v>18</v>
      </c>
      <c r="E1063" s="1">
        <v>7174.0</v>
      </c>
      <c r="F1063" s="1">
        <v>12579.11504</v>
      </c>
    </row>
    <row r="1064" ht="14.25" customHeight="1">
      <c r="A1064" s="1">
        <v>202412.0</v>
      </c>
      <c r="B1064" s="1" t="s">
        <v>75</v>
      </c>
      <c r="C1064" s="1" t="s">
        <v>81</v>
      </c>
      <c r="D1064" s="1" t="s">
        <v>19</v>
      </c>
      <c r="E1064" s="1">
        <v>24.0</v>
      </c>
      <c r="F1064" s="1">
        <v>327.73106</v>
      </c>
    </row>
    <row r="1065" ht="14.25" customHeight="1">
      <c r="A1065" s="1">
        <v>202412.0</v>
      </c>
      <c r="B1065" s="1" t="s">
        <v>75</v>
      </c>
      <c r="C1065" s="1" t="s">
        <v>81</v>
      </c>
      <c r="D1065" s="1" t="s">
        <v>20</v>
      </c>
      <c r="E1065" s="1">
        <v>86.0</v>
      </c>
      <c r="F1065" s="1">
        <v>197.02167</v>
      </c>
    </row>
    <row r="1066" ht="14.25" customHeight="1">
      <c r="A1066" s="1">
        <v>202412.0</v>
      </c>
      <c r="B1066" s="1" t="s">
        <v>75</v>
      </c>
      <c r="C1066" s="1" t="s">
        <v>81</v>
      </c>
      <c r="D1066" s="1" t="s">
        <v>37</v>
      </c>
      <c r="E1066" s="1">
        <v>18.0</v>
      </c>
      <c r="F1066" s="1">
        <v>2861.19074</v>
      </c>
    </row>
    <row r="1067" ht="14.25" customHeight="1">
      <c r="A1067" s="1">
        <v>202412.0</v>
      </c>
      <c r="B1067" s="1" t="s">
        <v>75</v>
      </c>
      <c r="C1067" s="1" t="s">
        <v>81</v>
      </c>
      <c r="D1067" s="1" t="s">
        <v>21</v>
      </c>
      <c r="E1067" s="1">
        <v>125.0</v>
      </c>
      <c r="F1067" s="1">
        <v>2516.104</v>
      </c>
    </row>
    <row r="1068" ht="14.25" customHeight="1">
      <c r="A1068" s="1">
        <v>202412.0</v>
      </c>
      <c r="B1068" s="1" t="s">
        <v>75</v>
      </c>
      <c r="C1068" s="1" t="s">
        <v>81</v>
      </c>
      <c r="D1068" s="1" t="s">
        <v>22</v>
      </c>
      <c r="E1068" s="1">
        <v>5.0</v>
      </c>
      <c r="F1068" s="1">
        <v>288.22522</v>
      </c>
    </row>
    <row r="1069" ht="14.25" customHeight="1">
      <c r="A1069" s="1">
        <v>202412.0</v>
      </c>
      <c r="B1069" s="1" t="s">
        <v>75</v>
      </c>
      <c r="C1069" s="1" t="s">
        <v>81</v>
      </c>
      <c r="D1069" s="1" t="s">
        <v>23</v>
      </c>
      <c r="E1069" s="1">
        <v>15475.0</v>
      </c>
      <c r="F1069" s="1">
        <v>13533.60102</v>
      </c>
    </row>
    <row r="1070" ht="14.25" customHeight="1">
      <c r="A1070" s="1">
        <v>202412.0</v>
      </c>
      <c r="B1070" s="1" t="s">
        <v>75</v>
      </c>
      <c r="C1070" s="1" t="s">
        <v>81</v>
      </c>
      <c r="D1070" s="1" t="s">
        <v>24</v>
      </c>
      <c r="E1070" s="1">
        <v>17.0</v>
      </c>
      <c r="F1070" s="1">
        <v>473.43419</v>
      </c>
    </row>
    <row r="1071" ht="14.25" customHeight="1">
      <c r="A1071" s="1">
        <v>202412.0</v>
      </c>
      <c r="B1071" s="1" t="s">
        <v>75</v>
      </c>
      <c r="C1071" s="1" t="s">
        <v>81</v>
      </c>
      <c r="D1071" s="1" t="s">
        <v>25</v>
      </c>
      <c r="E1071" s="1">
        <v>899.0</v>
      </c>
      <c r="F1071" s="1">
        <v>2789.33524</v>
      </c>
    </row>
    <row r="1072" ht="14.25" customHeight="1">
      <c r="A1072" s="1">
        <v>202412.0</v>
      </c>
      <c r="B1072" s="1" t="s">
        <v>75</v>
      </c>
      <c r="C1072" s="1" t="s">
        <v>81</v>
      </c>
      <c r="D1072" s="1" t="s">
        <v>26</v>
      </c>
      <c r="E1072" s="1">
        <v>1261.0</v>
      </c>
      <c r="F1072" s="1">
        <v>2541.63203</v>
      </c>
    </row>
    <row r="1073" ht="14.25" customHeight="1">
      <c r="A1073" s="1">
        <v>202412.0</v>
      </c>
      <c r="B1073" s="1" t="s">
        <v>75</v>
      </c>
      <c r="C1073" s="1" t="s">
        <v>81</v>
      </c>
      <c r="D1073" s="1" t="s">
        <v>27</v>
      </c>
      <c r="E1073" s="1">
        <v>11.0</v>
      </c>
      <c r="F1073" s="1">
        <v>1277.8364</v>
      </c>
    </row>
    <row r="1074" ht="14.25" customHeight="1">
      <c r="A1074" s="1">
        <v>202412.0</v>
      </c>
      <c r="B1074" s="1" t="s">
        <v>75</v>
      </c>
      <c r="C1074" s="1" t="s">
        <v>81</v>
      </c>
      <c r="D1074" s="1" t="s">
        <v>28</v>
      </c>
      <c r="E1074" s="1">
        <v>29.0</v>
      </c>
      <c r="F1074" s="1">
        <v>426.77931</v>
      </c>
    </row>
    <row r="1075" ht="14.25" customHeight="1">
      <c r="A1075" s="1">
        <v>202412.0</v>
      </c>
      <c r="B1075" s="1" t="s">
        <v>75</v>
      </c>
      <c r="C1075" s="1" t="s">
        <v>81</v>
      </c>
      <c r="D1075" s="1" t="s">
        <v>29</v>
      </c>
      <c r="E1075" s="1">
        <v>24175.0</v>
      </c>
      <c r="F1075" s="1">
        <v>46056.58627</v>
      </c>
    </row>
    <row r="1076" ht="14.25" customHeight="1">
      <c r="A1076" s="1">
        <v>202412.0</v>
      </c>
      <c r="B1076" s="1" t="s">
        <v>75</v>
      </c>
      <c r="C1076" s="1" t="s">
        <v>81</v>
      </c>
      <c r="D1076" s="1" t="s">
        <v>30</v>
      </c>
      <c r="E1076" s="1">
        <v>13.0</v>
      </c>
      <c r="F1076" s="1">
        <v>15982.46488</v>
      </c>
    </row>
    <row r="1077" ht="14.25" customHeight="1">
      <c r="A1077" s="1">
        <v>202412.0</v>
      </c>
      <c r="B1077" s="1" t="s">
        <v>75</v>
      </c>
      <c r="C1077" s="1" t="s">
        <v>81</v>
      </c>
      <c r="D1077" s="1" t="s">
        <v>31</v>
      </c>
      <c r="E1077" s="1">
        <v>577.0</v>
      </c>
      <c r="F1077" s="1">
        <v>1223.4831</v>
      </c>
    </row>
    <row r="1078" ht="14.25" customHeight="1">
      <c r="A1078" s="1">
        <v>202412.0</v>
      </c>
      <c r="B1078" s="1" t="s">
        <v>75</v>
      </c>
      <c r="C1078" s="1" t="s">
        <v>81</v>
      </c>
      <c r="D1078" s="1" t="s">
        <v>32</v>
      </c>
      <c r="E1078" s="1">
        <v>9.0</v>
      </c>
      <c r="F1078" s="1">
        <v>818.6116</v>
      </c>
    </row>
    <row r="1079" ht="14.25" customHeight="1">
      <c r="A1079" s="1">
        <v>202412.0</v>
      </c>
      <c r="B1079" s="1" t="s">
        <v>75</v>
      </c>
      <c r="C1079" s="1" t="s">
        <v>81</v>
      </c>
      <c r="D1079" s="1" t="s">
        <v>33</v>
      </c>
      <c r="E1079" s="1">
        <v>6569.0</v>
      </c>
      <c r="F1079" s="1">
        <v>41923.90531</v>
      </c>
    </row>
    <row r="1080" ht="14.25" customHeight="1">
      <c r="A1080" s="1">
        <v>202412.0</v>
      </c>
      <c r="B1080" s="1" t="s">
        <v>75</v>
      </c>
      <c r="C1080" s="1" t="s">
        <v>81</v>
      </c>
      <c r="D1080" s="1" t="s">
        <v>34</v>
      </c>
      <c r="E1080" s="1">
        <v>144.0</v>
      </c>
      <c r="F1080" s="1">
        <v>3415.58484</v>
      </c>
    </row>
    <row r="1081" ht="14.25" customHeight="1">
      <c r="A1081" s="1">
        <v>202412.0</v>
      </c>
      <c r="B1081" s="1" t="s">
        <v>75</v>
      </c>
      <c r="C1081" s="1" t="s">
        <v>82</v>
      </c>
      <c r="D1081" s="1" t="s">
        <v>9</v>
      </c>
      <c r="E1081" s="1">
        <v>10.0</v>
      </c>
      <c r="F1081" s="1">
        <v>124.88175</v>
      </c>
    </row>
    <row r="1082" ht="14.25" customHeight="1">
      <c r="A1082" s="1">
        <v>202412.0</v>
      </c>
      <c r="B1082" s="1" t="s">
        <v>75</v>
      </c>
      <c r="C1082" s="1" t="s">
        <v>82</v>
      </c>
      <c r="D1082" s="1" t="s">
        <v>10</v>
      </c>
      <c r="E1082" s="1">
        <v>15756.0</v>
      </c>
      <c r="F1082" s="1">
        <v>18540.78205</v>
      </c>
    </row>
    <row r="1083" ht="14.25" customHeight="1">
      <c r="A1083" s="1">
        <v>202412.0</v>
      </c>
      <c r="B1083" s="1" t="s">
        <v>75</v>
      </c>
      <c r="C1083" s="1" t="s">
        <v>82</v>
      </c>
      <c r="D1083" s="1" t="s">
        <v>11</v>
      </c>
      <c r="E1083" s="1">
        <v>13293.0</v>
      </c>
      <c r="F1083" s="1">
        <v>10218.90987</v>
      </c>
    </row>
    <row r="1084" ht="14.25" customHeight="1">
      <c r="A1084" s="1">
        <v>202412.0</v>
      </c>
      <c r="B1084" s="1" t="s">
        <v>75</v>
      </c>
      <c r="C1084" s="1" t="s">
        <v>82</v>
      </c>
      <c r="D1084" s="1" t="s">
        <v>12</v>
      </c>
      <c r="E1084" s="1">
        <v>71.0</v>
      </c>
      <c r="F1084" s="1">
        <v>864.9943</v>
      </c>
    </row>
    <row r="1085" ht="14.25" customHeight="1">
      <c r="A1085" s="1">
        <v>202412.0</v>
      </c>
      <c r="B1085" s="1" t="s">
        <v>75</v>
      </c>
      <c r="C1085" s="1" t="s">
        <v>82</v>
      </c>
      <c r="D1085" s="1" t="s">
        <v>13</v>
      </c>
      <c r="E1085" s="1">
        <v>168.0</v>
      </c>
      <c r="F1085" s="1">
        <v>2459.22601</v>
      </c>
    </row>
    <row r="1086" ht="14.25" customHeight="1">
      <c r="A1086" s="1">
        <v>202412.0</v>
      </c>
      <c r="B1086" s="1" t="s">
        <v>75</v>
      </c>
      <c r="C1086" s="1" t="s">
        <v>82</v>
      </c>
      <c r="D1086" s="1" t="s">
        <v>14</v>
      </c>
      <c r="E1086" s="1">
        <v>199.0</v>
      </c>
      <c r="F1086" s="1">
        <v>2747.57761</v>
      </c>
    </row>
    <row r="1087" ht="14.25" customHeight="1">
      <c r="A1087" s="1">
        <v>202412.0</v>
      </c>
      <c r="B1087" s="1" t="s">
        <v>75</v>
      </c>
      <c r="C1087" s="1" t="s">
        <v>82</v>
      </c>
      <c r="D1087" s="1" t="s">
        <v>15</v>
      </c>
      <c r="E1087" s="1">
        <v>10.0</v>
      </c>
      <c r="F1087" s="1">
        <v>2293.59492</v>
      </c>
    </row>
    <row r="1088" ht="14.25" customHeight="1">
      <c r="A1088" s="1">
        <v>202412.0</v>
      </c>
      <c r="B1088" s="1" t="s">
        <v>75</v>
      </c>
      <c r="C1088" s="1" t="s">
        <v>82</v>
      </c>
      <c r="D1088" s="1" t="s">
        <v>16</v>
      </c>
      <c r="E1088" s="1">
        <v>3371.0</v>
      </c>
      <c r="F1088" s="1">
        <v>11580.16674</v>
      </c>
    </row>
    <row r="1089" ht="14.25" customHeight="1">
      <c r="A1089" s="1">
        <v>202412.0</v>
      </c>
      <c r="B1089" s="1" t="s">
        <v>75</v>
      </c>
      <c r="C1089" s="1" t="s">
        <v>82</v>
      </c>
      <c r="D1089" s="1" t="s">
        <v>17</v>
      </c>
      <c r="E1089" s="1">
        <v>1509.0</v>
      </c>
      <c r="F1089" s="1">
        <v>3373.14993</v>
      </c>
    </row>
    <row r="1090" ht="14.25" customHeight="1">
      <c r="A1090" s="1">
        <v>202412.0</v>
      </c>
      <c r="B1090" s="1" t="s">
        <v>75</v>
      </c>
      <c r="C1090" s="1" t="s">
        <v>82</v>
      </c>
      <c r="D1090" s="1" t="s">
        <v>18</v>
      </c>
      <c r="E1090" s="1">
        <v>6736.0</v>
      </c>
      <c r="F1090" s="1">
        <v>12152.95809</v>
      </c>
    </row>
    <row r="1091" ht="14.25" customHeight="1">
      <c r="A1091" s="1">
        <v>202412.0</v>
      </c>
      <c r="B1091" s="1" t="s">
        <v>75</v>
      </c>
      <c r="C1091" s="1" t="s">
        <v>82</v>
      </c>
      <c r="D1091" s="1" t="s">
        <v>19</v>
      </c>
      <c r="E1091" s="1">
        <v>9.0</v>
      </c>
      <c r="F1091" s="1">
        <v>125.26757</v>
      </c>
    </row>
    <row r="1092" ht="14.25" customHeight="1">
      <c r="A1092" s="1">
        <v>202412.0</v>
      </c>
      <c r="B1092" s="1" t="s">
        <v>75</v>
      </c>
      <c r="C1092" s="1" t="s">
        <v>82</v>
      </c>
      <c r="D1092" s="1" t="s">
        <v>20</v>
      </c>
      <c r="E1092" s="1">
        <v>40.0</v>
      </c>
      <c r="F1092" s="1">
        <v>145.82828</v>
      </c>
    </row>
    <row r="1093" ht="14.25" customHeight="1">
      <c r="A1093" s="1">
        <v>202412.0</v>
      </c>
      <c r="B1093" s="1" t="s">
        <v>75</v>
      </c>
      <c r="C1093" s="1" t="s">
        <v>82</v>
      </c>
      <c r="D1093" s="1" t="s">
        <v>37</v>
      </c>
      <c r="E1093" s="1">
        <v>1.0</v>
      </c>
      <c r="F1093" s="1">
        <v>255.72497</v>
      </c>
    </row>
    <row r="1094" ht="14.25" customHeight="1">
      <c r="A1094" s="1">
        <v>202412.0</v>
      </c>
      <c r="B1094" s="1" t="s">
        <v>75</v>
      </c>
      <c r="C1094" s="1" t="s">
        <v>82</v>
      </c>
      <c r="D1094" s="1" t="s">
        <v>21</v>
      </c>
      <c r="E1094" s="1">
        <v>98.0</v>
      </c>
      <c r="F1094" s="1">
        <v>2890.11886</v>
      </c>
    </row>
    <row r="1095" ht="14.25" customHeight="1">
      <c r="A1095" s="1">
        <v>202412.0</v>
      </c>
      <c r="B1095" s="1" t="s">
        <v>75</v>
      </c>
      <c r="C1095" s="1" t="s">
        <v>82</v>
      </c>
      <c r="D1095" s="1" t="s">
        <v>23</v>
      </c>
      <c r="E1095" s="1">
        <v>10228.0</v>
      </c>
      <c r="F1095" s="1">
        <v>11274.47643</v>
      </c>
    </row>
    <row r="1096" ht="14.25" customHeight="1">
      <c r="A1096" s="1">
        <v>202412.0</v>
      </c>
      <c r="B1096" s="1" t="s">
        <v>75</v>
      </c>
      <c r="C1096" s="1" t="s">
        <v>82</v>
      </c>
      <c r="D1096" s="1" t="s">
        <v>24</v>
      </c>
      <c r="E1096" s="1">
        <v>2.0</v>
      </c>
      <c r="F1096" s="1">
        <v>87.58084</v>
      </c>
    </row>
    <row r="1097" ht="14.25" customHeight="1">
      <c r="A1097" s="1">
        <v>202412.0</v>
      </c>
      <c r="B1097" s="1" t="s">
        <v>75</v>
      </c>
      <c r="C1097" s="1" t="s">
        <v>82</v>
      </c>
      <c r="D1097" s="1" t="s">
        <v>25</v>
      </c>
      <c r="E1097" s="1">
        <v>464.0</v>
      </c>
      <c r="F1097" s="1">
        <v>1352.64794</v>
      </c>
    </row>
    <row r="1098" ht="14.25" customHeight="1">
      <c r="A1098" s="1">
        <v>202412.0</v>
      </c>
      <c r="B1098" s="1" t="s">
        <v>75</v>
      </c>
      <c r="C1098" s="1" t="s">
        <v>82</v>
      </c>
      <c r="D1098" s="1" t="s">
        <v>26</v>
      </c>
      <c r="E1098" s="1">
        <v>1028.0</v>
      </c>
      <c r="F1098" s="1">
        <v>2677.96902</v>
      </c>
    </row>
    <row r="1099" ht="14.25" customHeight="1">
      <c r="A1099" s="1">
        <v>202412.0</v>
      </c>
      <c r="B1099" s="1" t="s">
        <v>75</v>
      </c>
      <c r="C1099" s="1" t="s">
        <v>82</v>
      </c>
      <c r="D1099" s="1" t="s">
        <v>27</v>
      </c>
      <c r="E1099" s="1">
        <v>4.0</v>
      </c>
      <c r="F1099" s="1">
        <v>720.0496</v>
      </c>
    </row>
    <row r="1100" ht="14.25" customHeight="1">
      <c r="A1100" s="1">
        <v>202412.0</v>
      </c>
      <c r="B1100" s="1" t="s">
        <v>75</v>
      </c>
      <c r="C1100" s="1" t="s">
        <v>82</v>
      </c>
      <c r="D1100" s="1" t="s">
        <v>28</v>
      </c>
      <c r="E1100" s="1">
        <v>25.0</v>
      </c>
      <c r="F1100" s="1">
        <v>541.87508</v>
      </c>
    </row>
    <row r="1101" ht="14.25" customHeight="1">
      <c r="A1101" s="1">
        <v>202412.0</v>
      </c>
      <c r="B1101" s="1" t="s">
        <v>75</v>
      </c>
      <c r="C1101" s="1" t="s">
        <v>82</v>
      </c>
      <c r="D1101" s="1" t="s">
        <v>29</v>
      </c>
      <c r="E1101" s="1">
        <v>16165.0</v>
      </c>
      <c r="F1101" s="1">
        <v>28187.34794</v>
      </c>
    </row>
    <row r="1102" ht="14.25" customHeight="1">
      <c r="A1102" s="1">
        <v>202412.0</v>
      </c>
      <c r="B1102" s="1" t="s">
        <v>75</v>
      </c>
      <c r="C1102" s="1" t="s">
        <v>82</v>
      </c>
      <c r="D1102" s="1" t="s">
        <v>30</v>
      </c>
      <c r="E1102" s="1">
        <v>4.0</v>
      </c>
      <c r="F1102" s="1">
        <v>3341.11923</v>
      </c>
    </row>
    <row r="1103" ht="14.25" customHeight="1">
      <c r="A1103" s="1">
        <v>202412.0</v>
      </c>
      <c r="B1103" s="1" t="s">
        <v>75</v>
      </c>
      <c r="C1103" s="1" t="s">
        <v>82</v>
      </c>
      <c r="D1103" s="1" t="s">
        <v>31</v>
      </c>
      <c r="E1103" s="1">
        <v>589.0</v>
      </c>
      <c r="F1103" s="1">
        <v>2372.09871</v>
      </c>
    </row>
    <row r="1104" ht="14.25" customHeight="1">
      <c r="A1104" s="1">
        <v>202412.0</v>
      </c>
      <c r="B1104" s="1" t="s">
        <v>75</v>
      </c>
      <c r="C1104" s="1" t="s">
        <v>82</v>
      </c>
      <c r="D1104" s="1" t="s">
        <v>32</v>
      </c>
      <c r="E1104" s="1">
        <v>6.0</v>
      </c>
      <c r="F1104" s="1">
        <v>1609.5944</v>
      </c>
    </row>
    <row r="1105" ht="14.25" customHeight="1">
      <c r="A1105" s="1">
        <v>202412.0</v>
      </c>
      <c r="B1105" s="1" t="s">
        <v>75</v>
      </c>
      <c r="C1105" s="1" t="s">
        <v>82</v>
      </c>
      <c r="D1105" s="1" t="s">
        <v>33</v>
      </c>
      <c r="E1105" s="1">
        <v>4699.0</v>
      </c>
      <c r="F1105" s="1">
        <v>39296.83302</v>
      </c>
    </row>
    <row r="1106" ht="14.25" customHeight="1">
      <c r="A1106" s="1">
        <v>202412.0</v>
      </c>
      <c r="B1106" s="1" t="s">
        <v>75</v>
      </c>
      <c r="C1106" s="1" t="s">
        <v>82</v>
      </c>
      <c r="D1106" s="1" t="s">
        <v>34</v>
      </c>
      <c r="E1106" s="1">
        <v>151.0</v>
      </c>
      <c r="F1106" s="1">
        <v>4541.23839</v>
      </c>
    </row>
    <row r="1107" ht="14.25" customHeight="1">
      <c r="A1107" s="1">
        <v>202412.0</v>
      </c>
      <c r="B1107" s="1" t="s">
        <v>83</v>
      </c>
      <c r="C1107" s="1" t="s">
        <v>83</v>
      </c>
      <c r="D1107" s="1" t="s">
        <v>9</v>
      </c>
      <c r="E1107" s="1">
        <v>1.0</v>
      </c>
      <c r="F1107" s="1">
        <v>20.36407</v>
      </c>
    </row>
    <row r="1108" ht="14.25" customHeight="1">
      <c r="A1108" s="1">
        <v>202412.0</v>
      </c>
      <c r="B1108" s="1" t="s">
        <v>83</v>
      </c>
      <c r="C1108" s="1" t="s">
        <v>83</v>
      </c>
      <c r="D1108" s="1" t="s">
        <v>10</v>
      </c>
      <c r="E1108" s="1">
        <v>61.0</v>
      </c>
      <c r="F1108" s="1">
        <v>54.49828</v>
      </c>
    </row>
    <row r="1109" ht="14.25" customHeight="1">
      <c r="A1109" s="1">
        <v>202412.0</v>
      </c>
      <c r="B1109" s="1" t="s">
        <v>83</v>
      </c>
      <c r="C1109" s="1" t="s">
        <v>83</v>
      </c>
      <c r="D1109" s="1" t="s">
        <v>11</v>
      </c>
      <c r="E1109" s="1">
        <v>35.0</v>
      </c>
      <c r="F1109" s="1">
        <v>32.06746</v>
      </c>
    </row>
    <row r="1110" ht="14.25" customHeight="1">
      <c r="A1110" s="1">
        <v>202412.0</v>
      </c>
      <c r="B1110" s="1" t="s">
        <v>83</v>
      </c>
      <c r="C1110" s="1" t="s">
        <v>83</v>
      </c>
      <c r="D1110" s="1" t="s">
        <v>13</v>
      </c>
      <c r="E1110" s="1">
        <v>1.0</v>
      </c>
      <c r="F1110" s="1">
        <v>8.1224</v>
      </c>
    </row>
    <row r="1111" ht="14.25" customHeight="1">
      <c r="A1111" s="1">
        <v>202412.0</v>
      </c>
      <c r="B1111" s="1" t="s">
        <v>83</v>
      </c>
      <c r="C1111" s="1" t="s">
        <v>83</v>
      </c>
      <c r="D1111" s="1" t="s">
        <v>16</v>
      </c>
      <c r="E1111" s="1">
        <v>14.0</v>
      </c>
      <c r="F1111" s="1">
        <v>70.96209</v>
      </c>
    </row>
    <row r="1112" ht="14.25" customHeight="1">
      <c r="A1112" s="1">
        <v>202412.0</v>
      </c>
      <c r="B1112" s="1" t="s">
        <v>83</v>
      </c>
      <c r="C1112" s="1" t="s">
        <v>83</v>
      </c>
      <c r="D1112" s="1" t="s">
        <v>17</v>
      </c>
      <c r="E1112" s="1">
        <v>8.0</v>
      </c>
      <c r="F1112" s="1">
        <v>14.88103</v>
      </c>
    </row>
    <row r="1113" ht="14.25" customHeight="1">
      <c r="A1113" s="1">
        <v>202412.0</v>
      </c>
      <c r="B1113" s="1" t="s">
        <v>83</v>
      </c>
      <c r="C1113" s="1" t="s">
        <v>83</v>
      </c>
      <c r="D1113" s="1" t="s">
        <v>18</v>
      </c>
      <c r="E1113" s="1">
        <v>40.0</v>
      </c>
      <c r="F1113" s="1">
        <v>62.65373</v>
      </c>
    </row>
    <row r="1114" ht="14.25" customHeight="1">
      <c r="A1114" s="1">
        <v>202412.0</v>
      </c>
      <c r="B1114" s="1" t="s">
        <v>83</v>
      </c>
      <c r="C1114" s="1" t="s">
        <v>83</v>
      </c>
      <c r="D1114" s="1" t="s">
        <v>23</v>
      </c>
      <c r="E1114" s="1">
        <v>57.0</v>
      </c>
      <c r="F1114" s="1">
        <v>55.96794</v>
      </c>
    </row>
    <row r="1115" ht="14.25" customHeight="1">
      <c r="A1115" s="1">
        <v>202412.0</v>
      </c>
      <c r="B1115" s="1" t="s">
        <v>83</v>
      </c>
      <c r="C1115" s="1" t="s">
        <v>83</v>
      </c>
      <c r="D1115" s="1" t="s">
        <v>25</v>
      </c>
      <c r="E1115" s="1">
        <v>3.0</v>
      </c>
      <c r="F1115" s="1">
        <v>6.93935</v>
      </c>
    </row>
    <row r="1116" ht="14.25" customHeight="1">
      <c r="A1116" s="1">
        <v>202412.0</v>
      </c>
      <c r="B1116" s="1" t="s">
        <v>83</v>
      </c>
      <c r="C1116" s="1" t="s">
        <v>83</v>
      </c>
      <c r="D1116" s="1" t="s">
        <v>26</v>
      </c>
      <c r="E1116" s="1">
        <v>5.0</v>
      </c>
      <c r="F1116" s="1">
        <v>53.78294</v>
      </c>
    </row>
    <row r="1117" ht="14.25" customHeight="1">
      <c r="A1117" s="1">
        <v>202412.0</v>
      </c>
      <c r="B1117" s="1" t="s">
        <v>83</v>
      </c>
      <c r="C1117" s="1" t="s">
        <v>83</v>
      </c>
      <c r="D1117" s="1" t="s">
        <v>29</v>
      </c>
      <c r="E1117" s="1">
        <v>80.0</v>
      </c>
      <c r="F1117" s="1">
        <v>248.79649</v>
      </c>
    </row>
    <row r="1118" ht="14.25" customHeight="1">
      <c r="A1118" s="1">
        <v>202412.0</v>
      </c>
      <c r="B1118" s="1" t="s">
        <v>83</v>
      </c>
      <c r="C1118" s="1" t="s">
        <v>83</v>
      </c>
      <c r="D1118" s="1" t="s">
        <v>31</v>
      </c>
      <c r="E1118" s="1">
        <v>9.0</v>
      </c>
      <c r="F1118" s="1">
        <v>29.24209</v>
      </c>
    </row>
    <row r="1119" ht="14.25" customHeight="1">
      <c r="A1119" s="1">
        <v>202412.0</v>
      </c>
      <c r="B1119" s="1" t="s">
        <v>83</v>
      </c>
      <c r="C1119" s="1" t="s">
        <v>83</v>
      </c>
      <c r="D1119" s="1" t="s">
        <v>32</v>
      </c>
      <c r="E1119" s="1">
        <v>1.0</v>
      </c>
      <c r="F1119" s="1">
        <v>188.4524</v>
      </c>
    </row>
    <row r="1120" ht="14.25" customHeight="1">
      <c r="A1120" s="1">
        <v>202412.0</v>
      </c>
      <c r="B1120" s="1" t="s">
        <v>83</v>
      </c>
      <c r="C1120" s="1" t="s">
        <v>83</v>
      </c>
      <c r="D1120" s="1" t="s">
        <v>33</v>
      </c>
      <c r="E1120" s="1">
        <v>27.0</v>
      </c>
      <c r="F1120" s="1">
        <v>174.92921</v>
      </c>
    </row>
    <row r="1121" ht="14.25" customHeight="1">
      <c r="A1121" s="1">
        <v>202412.0</v>
      </c>
      <c r="B1121" s="1" t="s">
        <v>83</v>
      </c>
      <c r="C1121" s="1" t="s">
        <v>83</v>
      </c>
      <c r="D1121" s="1" t="s">
        <v>34</v>
      </c>
      <c r="E1121" s="1">
        <v>3.0</v>
      </c>
      <c r="F1121" s="1">
        <v>50.47295</v>
      </c>
    </row>
  </sheetData>
  <autoFilter ref="$A$1:$Z$112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88"/>
  </cols>
  <sheetData>
    <row r="1">
      <c r="A1" s="2" t="s">
        <v>84</v>
      </c>
      <c r="B1" s="3">
        <f>SUMIF(Raw_Data!D:D,"Mirtazapine",Raw_Data!F:F)</f>
        <v>1091992.528</v>
      </c>
      <c r="D1" s="4"/>
    </row>
    <row r="2">
      <c r="A2" s="2" t="s">
        <v>85</v>
      </c>
      <c r="B2" s="3">
        <f>SUMIFS(Raw_Data!F:F,Raw_Data!B:B,"MIDLANDS",Raw_Data!D:D,"Sertraline hydrochloride")</f>
        <v>722288.4875</v>
      </c>
    </row>
    <row r="3">
      <c r="A3" s="4" t="s">
        <v>86</v>
      </c>
      <c r="B3" s="5">
        <f>SUM(Raw_Data!E:E)</f>
        <v>7821977</v>
      </c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13"/>
    <col customWidth="1" min="2" max="2" width="28.25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autoFilter ref="$A$1:$B$28">
    <sortState ref="A1:B28">
      <sortCondition ref="B1:B28"/>
    </sortState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6.63"/>
    <col customWidth="1" min="2" max="2" width="27.75"/>
  </cols>
  <sheetData>
    <row r="1"/>
    <row r="2"/>
    <row r="3"/>
    <row r="4"/>
    <row r="5"/>
    <row r="6"/>
    <row r="7"/>
    <row r="8"/>
    <row r="9"/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3" width="8.63"/>
    <col customWidth="1" min="4" max="4" width="23.38"/>
    <col customWidth="1" min="5" max="26" width="8.63"/>
  </cols>
  <sheetData>
    <row r="1" ht="14.25" customHeight="1">
      <c r="A1" s="6" t="s">
        <v>89</v>
      </c>
    </row>
    <row r="2" ht="14.25" customHeight="1">
      <c r="A2" s="7" t="s">
        <v>90</v>
      </c>
      <c r="B2" s="7" t="s">
        <v>91</v>
      </c>
      <c r="C2" s="7" t="s">
        <v>92</v>
      </c>
      <c r="D2" s="7" t="s">
        <v>93</v>
      </c>
    </row>
    <row r="3" ht="14.25" customHeight="1">
      <c r="A3" s="8" t="s">
        <v>0</v>
      </c>
      <c r="B3" s="8" t="s">
        <v>94</v>
      </c>
      <c r="C3" s="8" t="s">
        <v>95</v>
      </c>
      <c r="D3" s="9" t="s">
        <v>96</v>
      </c>
    </row>
    <row r="4" ht="14.25" customHeight="1">
      <c r="A4" s="10" t="s">
        <v>1</v>
      </c>
      <c r="B4" s="10" t="s">
        <v>97</v>
      </c>
      <c r="C4" s="10" t="s">
        <v>98</v>
      </c>
      <c r="D4" s="11" t="s">
        <v>99</v>
      </c>
    </row>
    <row r="5" ht="14.25" customHeight="1">
      <c r="A5" s="10" t="s">
        <v>2</v>
      </c>
      <c r="B5" s="10" t="s">
        <v>100</v>
      </c>
      <c r="C5" s="10" t="s">
        <v>98</v>
      </c>
      <c r="D5" s="11" t="s">
        <v>101</v>
      </c>
    </row>
    <row r="6" ht="14.25" customHeight="1">
      <c r="A6" s="10" t="s">
        <v>3</v>
      </c>
      <c r="B6" s="10" t="s">
        <v>102</v>
      </c>
      <c r="C6" s="10" t="s">
        <v>98</v>
      </c>
      <c r="D6" s="11" t="s">
        <v>103</v>
      </c>
    </row>
    <row r="7" ht="14.25" customHeight="1">
      <c r="A7" s="8" t="s">
        <v>4</v>
      </c>
      <c r="B7" s="8" t="s">
        <v>104</v>
      </c>
      <c r="C7" s="8" t="s">
        <v>95</v>
      </c>
      <c r="D7" s="9" t="s">
        <v>105</v>
      </c>
    </row>
    <row r="8" ht="14.25" customHeight="1">
      <c r="A8" s="8" t="s">
        <v>5</v>
      </c>
      <c r="B8" s="8" t="s">
        <v>106</v>
      </c>
      <c r="C8" s="8" t="s">
        <v>95</v>
      </c>
      <c r="D8" s="9" t="s">
        <v>107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